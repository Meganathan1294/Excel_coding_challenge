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ownloads\"/>
    </mc:Choice>
  </mc:AlternateContent>
  <xr:revisionPtr revIDLastSave="0" documentId="8_{893F9488-566B-426C-8305-3F658E6FA8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6" sheetId="4" r:id="rId1"/>
    <sheet name="Cleaned Data" sheetId="1" r:id="rId2"/>
    <sheet name="Sheet1" sheetId="3" r:id="rId3"/>
  </sheets>
  <definedNames>
    <definedName name="_xlnm._FilterDatabase" localSheetId="1" hidden="1">'Cleaned Data'!$A$1:$N$1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O143" i="1"/>
  <c r="O144" i="1"/>
  <c r="O145" i="1"/>
  <c r="O146" i="1"/>
  <c r="O147" i="1"/>
  <c r="O148" i="1"/>
  <c r="O149" i="1"/>
  <c r="O150" i="1"/>
  <c r="O151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O2" i="1" s="1"/>
  <c r="M12" i="1"/>
  <c r="N12" i="1" s="1"/>
  <c r="O3" i="1" s="1"/>
  <c r="M13" i="1"/>
  <c r="N13" i="1" s="1"/>
  <c r="O4" i="1" s="1"/>
  <c r="M14" i="1"/>
  <c r="N14" i="1" s="1"/>
  <c r="O5" i="1" s="1"/>
  <c r="M15" i="1"/>
  <c r="N15" i="1" s="1"/>
  <c r="O6" i="1" s="1"/>
  <c r="M16" i="1"/>
  <c r="N16" i="1" s="1"/>
  <c r="O7" i="1" s="1"/>
  <c r="M17" i="1"/>
  <c r="N17" i="1" s="1"/>
  <c r="O8" i="1" s="1"/>
  <c r="M18" i="1"/>
  <c r="N18" i="1" s="1"/>
  <c r="O9" i="1" s="1"/>
  <c r="M19" i="1"/>
  <c r="N19" i="1" s="1"/>
  <c r="O10" i="1" s="1"/>
  <c r="M20" i="1"/>
  <c r="N20" i="1" s="1"/>
  <c r="O11" i="1" s="1"/>
  <c r="M21" i="1"/>
  <c r="N21" i="1" s="1"/>
  <c r="O12" i="1" s="1"/>
  <c r="M22" i="1"/>
  <c r="N22" i="1" s="1"/>
  <c r="O13" i="1" s="1"/>
  <c r="M23" i="1"/>
  <c r="N23" i="1" s="1"/>
  <c r="O14" i="1" s="1"/>
  <c r="M24" i="1"/>
  <c r="N24" i="1" s="1"/>
  <c r="O15" i="1" s="1"/>
  <c r="M25" i="1"/>
  <c r="N25" i="1" s="1"/>
  <c r="O16" i="1" s="1"/>
  <c r="M26" i="1"/>
  <c r="N26" i="1" s="1"/>
  <c r="O17" i="1" s="1"/>
  <c r="M27" i="1"/>
  <c r="N27" i="1" s="1"/>
  <c r="O18" i="1" s="1"/>
  <c r="M28" i="1"/>
  <c r="N28" i="1" s="1"/>
  <c r="O19" i="1" s="1"/>
  <c r="M29" i="1"/>
  <c r="N29" i="1" s="1"/>
  <c r="O20" i="1" s="1"/>
  <c r="M30" i="1"/>
  <c r="N30" i="1" s="1"/>
  <c r="O21" i="1" s="1"/>
  <c r="M31" i="1"/>
  <c r="N31" i="1" s="1"/>
  <c r="O22" i="1" s="1"/>
  <c r="M32" i="1"/>
  <c r="N32" i="1" s="1"/>
  <c r="O23" i="1" s="1"/>
  <c r="M33" i="1"/>
  <c r="N33" i="1" s="1"/>
  <c r="O24" i="1" s="1"/>
  <c r="M34" i="1"/>
  <c r="N34" i="1" s="1"/>
  <c r="O25" i="1" s="1"/>
  <c r="M35" i="1"/>
  <c r="N35" i="1" s="1"/>
  <c r="O26" i="1" s="1"/>
  <c r="M36" i="1"/>
  <c r="N36" i="1" s="1"/>
  <c r="O27" i="1" s="1"/>
  <c r="M37" i="1"/>
  <c r="N37" i="1" s="1"/>
  <c r="O28" i="1" s="1"/>
  <c r="M38" i="1"/>
  <c r="N38" i="1" s="1"/>
  <c r="O29" i="1" s="1"/>
  <c r="M39" i="1"/>
  <c r="N39" i="1" s="1"/>
  <c r="O30" i="1" s="1"/>
  <c r="M40" i="1"/>
  <c r="N40" i="1" s="1"/>
  <c r="O31" i="1" s="1"/>
  <c r="M41" i="1"/>
  <c r="N41" i="1" s="1"/>
  <c r="O32" i="1" s="1"/>
  <c r="M42" i="1"/>
  <c r="N42" i="1" s="1"/>
  <c r="O33" i="1" s="1"/>
  <c r="M43" i="1"/>
  <c r="N43" i="1" s="1"/>
  <c r="O34" i="1" s="1"/>
  <c r="M44" i="1"/>
  <c r="N44" i="1" s="1"/>
  <c r="O35" i="1" s="1"/>
  <c r="M45" i="1"/>
  <c r="N45" i="1" s="1"/>
  <c r="O36" i="1" s="1"/>
  <c r="M46" i="1"/>
  <c r="N46" i="1" s="1"/>
  <c r="O37" i="1" s="1"/>
  <c r="M47" i="1"/>
  <c r="N47" i="1" s="1"/>
  <c r="O38" i="1" s="1"/>
  <c r="M48" i="1"/>
  <c r="N48" i="1" s="1"/>
  <c r="O39" i="1" s="1"/>
  <c r="M49" i="1"/>
  <c r="N49" i="1" s="1"/>
  <c r="O40" i="1" s="1"/>
  <c r="M50" i="1"/>
  <c r="N50" i="1" s="1"/>
  <c r="O41" i="1" s="1"/>
  <c r="M51" i="1"/>
  <c r="N51" i="1" s="1"/>
  <c r="O42" i="1" s="1"/>
  <c r="M52" i="1"/>
  <c r="N52" i="1" s="1"/>
  <c r="O43" i="1" s="1"/>
  <c r="M53" i="1"/>
  <c r="N53" i="1" s="1"/>
  <c r="O44" i="1" s="1"/>
  <c r="M54" i="1"/>
  <c r="N54" i="1" s="1"/>
  <c r="O45" i="1" s="1"/>
  <c r="M55" i="1"/>
  <c r="N55" i="1" s="1"/>
  <c r="O46" i="1" s="1"/>
  <c r="M56" i="1"/>
  <c r="N56" i="1" s="1"/>
  <c r="O47" i="1" s="1"/>
  <c r="M57" i="1"/>
  <c r="N57" i="1" s="1"/>
  <c r="O48" i="1" s="1"/>
  <c r="M58" i="1"/>
  <c r="N58" i="1" s="1"/>
  <c r="O49" i="1" s="1"/>
  <c r="M59" i="1"/>
  <c r="N59" i="1" s="1"/>
  <c r="O50" i="1" s="1"/>
  <c r="M60" i="1"/>
  <c r="N60" i="1" s="1"/>
  <c r="O51" i="1" s="1"/>
  <c r="M61" i="1"/>
  <c r="N61" i="1" s="1"/>
  <c r="O52" i="1" s="1"/>
  <c r="M62" i="1"/>
  <c r="N62" i="1" s="1"/>
  <c r="O53" i="1" s="1"/>
  <c r="M63" i="1"/>
  <c r="N63" i="1" s="1"/>
  <c r="O54" i="1" s="1"/>
  <c r="M64" i="1"/>
  <c r="N64" i="1" s="1"/>
  <c r="O55" i="1" s="1"/>
  <c r="M65" i="1"/>
  <c r="N65" i="1" s="1"/>
  <c r="O56" i="1" s="1"/>
  <c r="M66" i="1"/>
  <c r="N66" i="1" s="1"/>
  <c r="O57" i="1" s="1"/>
  <c r="M67" i="1"/>
  <c r="N67" i="1" s="1"/>
  <c r="O58" i="1" s="1"/>
  <c r="M68" i="1"/>
  <c r="N68" i="1" s="1"/>
  <c r="O59" i="1" s="1"/>
  <c r="M69" i="1"/>
  <c r="N69" i="1" s="1"/>
  <c r="O60" i="1" s="1"/>
  <c r="M70" i="1"/>
  <c r="M71" i="1"/>
  <c r="N71" i="1" s="1"/>
  <c r="O62" i="1" s="1"/>
  <c r="M72" i="1"/>
  <c r="N72" i="1" s="1"/>
  <c r="O63" i="1" s="1"/>
  <c r="M73" i="1"/>
  <c r="N73" i="1" s="1"/>
  <c r="O64" i="1" s="1"/>
  <c r="M74" i="1"/>
  <c r="N74" i="1" s="1"/>
  <c r="O65" i="1" s="1"/>
  <c r="M75" i="1"/>
  <c r="N75" i="1" s="1"/>
  <c r="O66" i="1" s="1"/>
  <c r="M76" i="1"/>
  <c r="N76" i="1" s="1"/>
  <c r="O67" i="1" s="1"/>
  <c r="M77" i="1"/>
  <c r="N77" i="1" s="1"/>
  <c r="O68" i="1" s="1"/>
  <c r="M78" i="1"/>
  <c r="N78" i="1" s="1"/>
  <c r="O69" i="1" s="1"/>
  <c r="M79" i="1"/>
  <c r="N79" i="1" s="1"/>
  <c r="O70" i="1" s="1"/>
  <c r="M80" i="1"/>
  <c r="N80" i="1" s="1"/>
  <c r="O71" i="1" s="1"/>
  <c r="M81" i="1"/>
  <c r="N81" i="1" s="1"/>
  <c r="O72" i="1" s="1"/>
  <c r="M82" i="1"/>
  <c r="N82" i="1" s="1"/>
  <c r="O73" i="1" s="1"/>
  <c r="M83" i="1"/>
  <c r="N83" i="1" s="1"/>
  <c r="O74" i="1" s="1"/>
  <c r="M84" i="1"/>
  <c r="N84" i="1" s="1"/>
  <c r="O75" i="1" s="1"/>
  <c r="M85" i="1"/>
  <c r="N85" i="1" s="1"/>
  <c r="O76" i="1" s="1"/>
  <c r="M86" i="1"/>
  <c r="N86" i="1" s="1"/>
  <c r="O77" i="1" s="1"/>
  <c r="M87" i="1"/>
  <c r="N87" i="1" s="1"/>
  <c r="O78" i="1" s="1"/>
  <c r="M88" i="1"/>
  <c r="N88" i="1" s="1"/>
  <c r="O79" i="1" s="1"/>
  <c r="M89" i="1"/>
  <c r="N89" i="1" s="1"/>
  <c r="O80" i="1" s="1"/>
  <c r="M90" i="1"/>
  <c r="N90" i="1" s="1"/>
  <c r="O81" i="1" s="1"/>
  <c r="M91" i="1"/>
  <c r="N91" i="1" s="1"/>
  <c r="O82" i="1" s="1"/>
  <c r="M92" i="1"/>
  <c r="N92" i="1" s="1"/>
  <c r="O83" i="1" s="1"/>
  <c r="M93" i="1"/>
  <c r="N93" i="1" s="1"/>
  <c r="O84" i="1" s="1"/>
  <c r="M94" i="1"/>
  <c r="N94" i="1" s="1"/>
  <c r="O85" i="1" s="1"/>
  <c r="M95" i="1"/>
  <c r="N95" i="1" s="1"/>
  <c r="O86" i="1" s="1"/>
  <c r="M96" i="1"/>
  <c r="N96" i="1" s="1"/>
  <c r="O87" i="1" s="1"/>
  <c r="M97" i="1"/>
  <c r="N97" i="1" s="1"/>
  <c r="O88" i="1" s="1"/>
  <c r="M98" i="1"/>
  <c r="N98" i="1" s="1"/>
  <c r="O89" i="1" s="1"/>
  <c r="M99" i="1"/>
  <c r="N99" i="1" s="1"/>
  <c r="O90" i="1" s="1"/>
  <c r="M100" i="1"/>
  <c r="N100" i="1" s="1"/>
  <c r="O91" i="1" s="1"/>
  <c r="M101" i="1"/>
  <c r="N101" i="1" s="1"/>
  <c r="O92" i="1" s="1"/>
  <c r="M102" i="1"/>
  <c r="N102" i="1" s="1"/>
  <c r="O93" i="1" s="1"/>
  <c r="M103" i="1"/>
  <c r="N103" i="1" s="1"/>
  <c r="O94" i="1" s="1"/>
  <c r="M104" i="1"/>
  <c r="N104" i="1" s="1"/>
  <c r="O95" i="1" s="1"/>
  <c r="M105" i="1"/>
  <c r="N105" i="1" s="1"/>
  <c r="O96" i="1" s="1"/>
  <c r="M106" i="1"/>
  <c r="N106" i="1" s="1"/>
  <c r="O97" i="1" s="1"/>
  <c r="M107" i="1"/>
  <c r="N107" i="1" s="1"/>
  <c r="O98" i="1" s="1"/>
  <c r="M108" i="1"/>
  <c r="N108" i="1" s="1"/>
  <c r="O99" i="1" s="1"/>
  <c r="M109" i="1"/>
  <c r="N109" i="1" s="1"/>
  <c r="O100" i="1" s="1"/>
  <c r="M110" i="1"/>
  <c r="N110" i="1" s="1"/>
  <c r="O101" i="1" s="1"/>
  <c r="M111" i="1"/>
  <c r="N111" i="1" s="1"/>
  <c r="O102" i="1" s="1"/>
  <c r="M112" i="1"/>
  <c r="N112" i="1" s="1"/>
  <c r="O103" i="1" s="1"/>
  <c r="M113" i="1"/>
  <c r="N113" i="1" s="1"/>
  <c r="O104" i="1" s="1"/>
  <c r="M114" i="1"/>
  <c r="N114" i="1" s="1"/>
  <c r="O105" i="1" s="1"/>
  <c r="M115" i="1"/>
  <c r="N115" i="1" s="1"/>
  <c r="O106" i="1" s="1"/>
  <c r="M116" i="1"/>
  <c r="N116" i="1" s="1"/>
  <c r="O107" i="1" s="1"/>
  <c r="M117" i="1"/>
  <c r="N117" i="1" s="1"/>
  <c r="O108" i="1" s="1"/>
  <c r="M118" i="1"/>
  <c r="N118" i="1" s="1"/>
  <c r="O109" i="1" s="1"/>
  <c r="M119" i="1"/>
  <c r="N119" i="1" s="1"/>
  <c r="O110" i="1" s="1"/>
  <c r="M120" i="1"/>
  <c r="N120" i="1" s="1"/>
  <c r="O111" i="1" s="1"/>
  <c r="M121" i="1"/>
  <c r="N121" i="1" s="1"/>
  <c r="O112" i="1" s="1"/>
  <c r="M122" i="1"/>
  <c r="N122" i="1" s="1"/>
  <c r="O113" i="1" s="1"/>
  <c r="M123" i="1"/>
  <c r="N123" i="1" s="1"/>
  <c r="O114" i="1" s="1"/>
  <c r="M124" i="1"/>
  <c r="N124" i="1" s="1"/>
  <c r="O115" i="1" s="1"/>
  <c r="M125" i="1"/>
  <c r="N125" i="1" s="1"/>
  <c r="O116" i="1" s="1"/>
  <c r="M126" i="1"/>
  <c r="N126" i="1" s="1"/>
  <c r="O117" i="1" s="1"/>
  <c r="M127" i="1"/>
  <c r="N127" i="1" s="1"/>
  <c r="O118" i="1" s="1"/>
  <c r="M128" i="1"/>
  <c r="N128" i="1" s="1"/>
  <c r="O119" i="1" s="1"/>
  <c r="M129" i="1"/>
  <c r="N129" i="1" s="1"/>
  <c r="O120" i="1" s="1"/>
  <c r="M130" i="1"/>
  <c r="N130" i="1" s="1"/>
  <c r="O121" i="1" s="1"/>
  <c r="M131" i="1"/>
  <c r="N131" i="1" s="1"/>
  <c r="O122" i="1" s="1"/>
  <c r="M132" i="1"/>
  <c r="N132" i="1" s="1"/>
  <c r="O123" i="1" s="1"/>
  <c r="M133" i="1"/>
  <c r="N133" i="1" s="1"/>
  <c r="O124" i="1" s="1"/>
  <c r="M134" i="1"/>
  <c r="N134" i="1" s="1"/>
  <c r="O125" i="1" s="1"/>
  <c r="M135" i="1"/>
  <c r="N135" i="1" s="1"/>
  <c r="O126" i="1" s="1"/>
  <c r="M136" i="1"/>
  <c r="N136" i="1" s="1"/>
  <c r="O127" i="1" s="1"/>
  <c r="M137" i="1"/>
  <c r="N137" i="1" s="1"/>
  <c r="O128" i="1" s="1"/>
  <c r="M138" i="1"/>
  <c r="N138" i="1" s="1"/>
  <c r="O129" i="1" s="1"/>
  <c r="M139" i="1"/>
  <c r="N139" i="1" s="1"/>
  <c r="O130" i="1" s="1"/>
  <c r="M140" i="1"/>
  <c r="N140" i="1" s="1"/>
  <c r="O131" i="1" s="1"/>
  <c r="M141" i="1"/>
  <c r="N141" i="1" s="1"/>
  <c r="O132" i="1" s="1"/>
  <c r="M142" i="1"/>
  <c r="N142" i="1" s="1"/>
  <c r="O133" i="1" s="1"/>
  <c r="M143" i="1"/>
  <c r="N143" i="1" s="1"/>
  <c r="O134" i="1" s="1"/>
  <c r="M144" i="1"/>
  <c r="N144" i="1" s="1"/>
  <c r="O135" i="1" s="1"/>
  <c r="M145" i="1"/>
  <c r="N145" i="1" s="1"/>
  <c r="O136" i="1" s="1"/>
  <c r="M146" i="1"/>
  <c r="N146" i="1" s="1"/>
  <c r="O137" i="1" s="1"/>
  <c r="M147" i="1"/>
  <c r="N147" i="1" s="1"/>
  <c r="O138" i="1" s="1"/>
  <c r="M148" i="1"/>
  <c r="N148" i="1" s="1"/>
  <c r="O139" i="1" s="1"/>
  <c r="M149" i="1"/>
  <c r="N149" i="1" s="1"/>
  <c r="O140" i="1" s="1"/>
  <c r="M150" i="1"/>
  <c r="N150" i="1" s="1"/>
  <c r="O141" i="1" s="1"/>
  <c r="M151" i="1"/>
  <c r="N151" i="1" s="1"/>
  <c r="O142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N2" i="1" l="1"/>
  <c r="N70" i="1"/>
  <c r="O61" i="1" s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<sst xmlns="http://schemas.openxmlformats.org/spreadsheetml/2006/main" count="1018" uniqueCount="318">
  <si>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</si>
  <si>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</si>
  <si>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</si>
  <si>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</si>
  <si>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</si>
  <si>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</si>
  <si>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</si>
  <si>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</si>
  <si>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</si>
  <si>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</si>
  <si>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</si>
  <si>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</si>
  <si>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</si>
  <si>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</si>
  <si>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</si>
  <si>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</si>
  <si>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</si>
  <si>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</si>
  <si>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</si>
  <si>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</si>
  <si>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</si>
  <si>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</si>
  <si>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</si>
  <si>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</si>
  <si>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</si>
  <si>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</si>
  <si>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</si>
  <si>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</si>
  <si>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</si>
  <si>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</si>
  <si>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</si>
  <si>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</si>
  <si>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</si>
  <si>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</si>
  <si>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</si>
  <si>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</si>
  <si>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</si>
  <si>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</si>
  <si>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</si>
  <si>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</si>
  <si>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</si>
  <si>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</si>
  <si>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</si>
  <si>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</si>
  <si>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</si>
  <si>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</si>
  <si>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</si>
  <si>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</si>
  <si>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</si>
  <si>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</si>
  <si>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</si>
  <si>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</si>
  <si>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</si>
  <si>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</si>
  <si>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</si>
  <si>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</si>
  <si>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</si>
  <si>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</si>
  <si>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</si>
  <si>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</si>
  <si>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</si>
  <si>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</si>
  <si>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</si>
  <si>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</si>
  <si>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</si>
  <si>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</si>
  <si>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</si>
  <si>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</si>
  <si>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</si>
  <si>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</si>
  <si>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</si>
  <si>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</si>
  <si>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</si>
  <si>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</si>
  <si>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</si>
  <si>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</si>
  <si>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</si>
  <si>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</si>
  <si>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</si>
  <si>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</si>
  <si>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</si>
  <si>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</si>
  <si>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</si>
  <si>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</si>
  <si>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</si>
  <si>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</si>
  <si>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</si>
  <si>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</si>
  <si>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</si>
  <si>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</si>
  <si>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</si>
  <si>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</si>
  <si>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</si>
  <si>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</si>
  <si>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</si>
  <si>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</si>
  <si>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</si>
  <si>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</si>
  <si>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</si>
  <si>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</si>
  <si>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</si>
  <si>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</si>
  <si>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</si>
  <si>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</si>
  <si>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</si>
  <si>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</si>
  <si>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</si>
  <si>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</si>
  <si>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</si>
  <si>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</si>
  <si>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</si>
  <si>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</si>
  <si>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</si>
  <si>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</si>
  <si>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</si>
  <si>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</si>
  <si>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</si>
  <si>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</si>
  <si>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</si>
  <si>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</si>
  <si>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</si>
  <si>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</si>
  <si>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</si>
  <si>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</si>
  <si>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</si>
  <si>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</si>
  <si>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</si>
  <si>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</si>
  <si>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</si>
  <si>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</si>
  <si>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</si>
  <si>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</si>
  <si>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</si>
  <si>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</si>
  <si>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</si>
  <si>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</si>
  <si>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</si>
  <si>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</si>
  <si>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</si>
  <si>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</si>
  <si>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</si>
  <si>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</si>
  <si>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</si>
  <si>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</si>
  <si>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</si>
  <si>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</si>
  <si>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</si>
  <si>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</si>
  <si>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</si>
  <si>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</si>
  <si>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</si>
  <si>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</si>
  <si>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</si>
  <si>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</si>
  <si>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</si>
  <si>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</si>
  <si>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</si>
  <si>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</si>
  <si>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</si>
  <si>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</si>
  <si>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</si>
  <si>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</si>
  <si>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</si>
  <si>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</si>
  <si>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</si>
  <si>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</si>
  <si>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</si>
  <si>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</si>
  <si>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</si>
  <si>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</si>
  <si>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</si>
  <si>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</si>
  <si>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</si>
  <si>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</si>
  <si>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</si>
  <si>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</si>
  <si>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</si>
  <si>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</si>
  <si>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</si>
  <si>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</si>
  <si>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</si>
  <si>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</si>
  <si>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</si>
  <si>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</si>
  <si>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</si>
  <si>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</si>
  <si>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</si>
  <si>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</si>
  <si>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</si>
  <si>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</si>
  <si>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</si>
  <si>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</si>
  <si>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</si>
  <si>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</si>
  <si>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</si>
  <si>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</si>
  <si>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</si>
  <si>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</si>
  <si>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</si>
  <si>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</si>
  <si>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</si>
  <si>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</si>
  <si>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</si>
  <si>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</si>
  <si>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</si>
  <si>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</si>
  <si>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</si>
  <si>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</si>
  <si>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</si>
  <si>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</si>
  <si>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</si>
  <si>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</si>
  <si>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</si>
  <si>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</si>
  <si>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</si>
  <si>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</si>
  <si>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</si>
  <si>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</si>
  <si>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</si>
  <si>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</si>
  <si>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</si>
  <si>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</si>
  <si>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</si>
  <si>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</si>
  <si>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</si>
  <si>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</si>
  <si>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</si>
  <si>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</si>
  <si>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</si>
  <si>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</si>
  <si>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</si>
  <si>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</si>
  <si>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</si>
  <si>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</si>
  <si>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</si>
  <si>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</si>
  <si>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</si>
  <si>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</si>
  <si>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</si>
  <si>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</si>
  <si>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</si>
  <si>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</si>
  <si>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</si>
  <si>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</si>
  <si>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</si>
  <si>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</si>
  <si>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</si>
  <si>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</si>
  <si>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</si>
  <si>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</si>
  <si>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</si>
  <si>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</si>
  <si>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</si>
  <si>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</si>
  <si>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</si>
  <si>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</si>
  <si>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</si>
  <si>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</si>
  <si>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</si>
  <si>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</si>
  <si>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</si>
  <si>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</si>
  <si>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</si>
  <si>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</si>
  <si>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</si>
  <si>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</si>
  <si>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</si>
  <si>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</si>
  <si>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</si>
  <si>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</si>
  <si>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</si>
  <si>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</si>
  <si>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</si>
  <si>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</si>
  <si>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</si>
  <si>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</si>
  <si>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</si>
  <si>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</si>
  <si>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</si>
  <si>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</si>
  <si>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</si>
  <si>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</si>
  <si>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</si>
  <si>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</si>
  <si>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</si>
  <si>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</si>
  <si>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</si>
  <si>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</si>
  <si>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</si>
  <si>
    <t>VLOOK UP SALARY</t>
  </si>
  <si>
    <t>INDEX AND MATCH</t>
  </si>
  <si>
    <t>Row Labels</t>
  </si>
  <si>
    <t>Grand Total</t>
  </si>
  <si>
    <t>Average of Salary</t>
  </si>
  <si>
    <t>Mail Id</t>
  </si>
  <si>
    <t>Analysis Type</t>
  </si>
  <si>
    <t>Main Question</t>
  </si>
  <si>
    <t>Example on this HR data</t>
  </si>
  <si>
    <t>Typical Pivot Setup</t>
  </si>
  <si>
    <t>Descriptive</t>
  </si>
  <si>
    <t>What happened?</t>
  </si>
  <si>
    <t>Average salary by department</t>
  </si>
  <si>
    <t>Rows: Department; Values: Average of Salary</t>
  </si>
  <si>
    <t>Diagnostic</t>
  </si>
  <si>
    <t>Why did it happen?</t>
  </si>
  <si>
    <t>Compare salary and performance across departments to see where gaps exist</t>
  </si>
  <si>
    <t>Rows: Department; Values: Average of Salary, Average of Performance Cleaned</t>
  </si>
  <si>
    <t>Predictive</t>
  </si>
  <si>
    <t>What is likely to happen?</t>
  </si>
  <si>
    <t>Identify departments with many low performers and long tenure who may be at risk of leaving</t>
  </si>
  <si>
    <t>Rows: Department; Columns: Performance band; Values: Count of Employee ID; Filter: Duration in Days</t>
  </si>
  <si>
    <t>Prescriptive</t>
  </si>
  <si>
    <t>What should we do?</t>
  </si>
  <si>
    <t>Prioritize specific departments for salary adjustments or training based on performance and tenure insights</t>
  </si>
  <si>
    <t>Rows: Department; Values: Average of Salary, Count of Employee ID; Filters: Performance band, Country</t>
  </si>
  <si>
    <t>Average of Performance Cleaned</t>
  </si>
  <si>
    <t>Count of Employee ID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</si>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</sst>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athan ravi" refreshedDate="46023.378969328704" createdVersion="8" refreshedVersion="8" minRefreshableVersion="3" recordCount="150" xr:uid="{7FD5FADC-AAF8-4F62-8758-792064589920}">
  <cacheSource type="worksheet">
    <worksheetSource name="Table2"/>
  </cacheSource>
  <cacheFields count="18">
    <cacheField name="Employee ID" numFmtId="0">
      <sharedItems/>
    </cacheField>
    <cacheField name="Name" numFmtId="0">
      <sharedItems/>
    </cacheField>
    <cacheField name="Department" numFmtId="0">
      <sharedItems count="6">
        <s v="Marketing"/>
        <s v="IT"/>
        <s v="Unknown"/>
        <s v="Finance"/>
        <s v="Sales"/>
        <s v="HR"/>
      </sharedItems>
    </cacheField>
    <cacheField name="Country" numFmtId="0">
      <sharedItems count="6">
        <s v="Germany"/>
        <s v="USA"/>
        <s v="Australia"/>
        <s v="Unknown"/>
        <s v="India"/>
        <s v="UK"/>
      </sharedItems>
    </cacheField>
    <cacheField name="Salary" numFmtId="0">
      <sharedItems containsMixedTypes="1" containsNumber="1" containsInteger="1" minValue="30280" maxValue="99621"/>
    </cacheField>
    <cacheField name="Date of Joining" numFmtId="0">
      <sharedItems containsDate="1" containsMixedTypes="1" minDate="2015-01-11T00:00:00" maxDate="2017-11-13T00:00:00"/>
    </cacheField>
    <cacheField name="Performance Rating" numFmtId="0">
      <sharedItems containsString="0" containsBlank="1" containsNumber="1" containsInteger="1" minValue="1" maxValue="5" count="6">
        <n v="5"/>
        <n v="4"/>
        <m/>
        <n v="3"/>
        <n v="2"/>
        <n v="1"/>
      </sharedItems>
    </cacheField>
    <cacheField name="Gender" numFmtId="0">
      <sharedItems/>
    </cacheField>
    <cacheField name="0" numFmtId="0">
      <sharedItems/>
    </cacheField>
    <cacheField name="Performance Cleaned" numFmtId="1">
      <sharedItems containsSemiMixedTypes="0" containsString="0" containsNumber="1" minValue="1" maxValue="5" count="11">
        <n v="5"/>
        <n v="4"/>
        <n v="3.3846153846153846"/>
        <n v="3"/>
        <n v="2.9444444444444446"/>
        <n v="2.75"/>
        <n v="2.7272727272727271"/>
        <n v="2.7"/>
        <n v="2.5789473684210527"/>
        <n v="2"/>
        <n v="1"/>
      </sharedItems>
    </cacheField>
    <cacheField name="Joining Year" numFmtId="0">
      <sharedItems containsMixedTypes="1" containsNumber="1" containsInteger="1" minValue="2015" maxValue="2017"/>
    </cacheField>
    <cacheField name="TODAY" numFmtId="14">
      <sharedItems containsSemiMixedTypes="0" containsNonDate="0" containsDate="1" containsString="0" minDate="2026-01-01T00:00:00" maxDate="2026-01-02T00:00:00"/>
    </cacheField>
    <cacheField name="NOW" numFmtId="22">
      <sharedItems containsSemiMixedTypes="0" containsNonDate="0" containsDate="1" containsString="0" minDate="2026-01-01T09:01:11" maxDate="2026-01-01T09:01:11"/>
    </cacheField>
    <cacheField name="MONTH" numFmtId="0">
      <sharedItems containsSemiMixedTypes="0" containsString="0" containsNumber="1" containsInteger="1" minValue="1" maxValue="1"/>
    </cacheField>
    <cacheField name="DAY" numFmtId="0">
      <sharedItems containsSemiMixedTypes="0" containsString="0" containsNumber="1" containsInteger="1" minValue="0" maxValue="1"/>
    </cacheField>
    <cacheField name="DURATION IN DAYS" numFmtId="0">
      <sharedItems containsMixedTypes="1" containsNumber="1" containsInteger="1" minValue="2972" maxValue="4008" count="142">
        <s v="UNKNOWN"/>
        <n v="3238"/>
        <n v="3203"/>
        <n v="3154"/>
        <n v="3140"/>
        <n v="3028"/>
        <n v="3000"/>
        <n v="2972"/>
        <n v="3637"/>
        <n v="3630"/>
        <n v="3609"/>
        <n v="3581"/>
        <n v="3525"/>
        <n v="3420"/>
        <n v="3371"/>
        <n v="3294"/>
        <n v="3938"/>
        <n v="3931"/>
        <n v="3882"/>
        <n v="3861"/>
        <n v="3812"/>
        <n v="3749"/>
        <n v="3672"/>
        <n v="3658"/>
        <n v="3217"/>
        <n v="3210"/>
        <n v="3063"/>
        <n v="3049"/>
        <n v="3035"/>
        <n v="3560"/>
        <n v="3504"/>
        <n v="3427"/>
        <n v="3413"/>
        <n v="3406"/>
        <n v="3364"/>
        <n v="3322"/>
        <n v="3924"/>
        <n v="3868"/>
        <n v="3770"/>
        <n v="3686"/>
        <n v="3511"/>
        <n v="3714"/>
        <n v="3280"/>
        <n v="3189"/>
        <n v="3161"/>
        <n v="3133"/>
        <n v="3098"/>
        <n v="3091"/>
        <n v="3084"/>
        <n v="3070"/>
        <n v="3021"/>
        <n v="3644"/>
        <n v="3616"/>
        <n v="3553"/>
        <n v="3546"/>
        <n v="3518"/>
        <n v="3448"/>
        <n v="3399"/>
        <n v="3392"/>
        <n v="3385"/>
        <n v="3343"/>
        <n v="3910"/>
        <n v="3854"/>
        <n v="3840"/>
        <n v="3826"/>
        <n v="3798"/>
        <n v="3791"/>
        <n v="3777"/>
        <n v="3742"/>
        <n v="3700"/>
        <n v="3693"/>
        <n v="3273"/>
        <n v="3357"/>
        <n v="3329"/>
        <n v="3308"/>
        <n v="3959"/>
        <n v="3763"/>
        <n v="3728"/>
        <n v="3112"/>
        <n v="3497"/>
        <n v="3903"/>
        <n v="3784"/>
        <n v="3182"/>
        <n v="3014"/>
        <n v="3434"/>
        <n v="3973"/>
        <n v="3056"/>
        <n v="3301"/>
        <n v="3952"/>
        <n v="3756"/>
        <n v="3231"/>
        <n v="3350"/>
        <n v="3889"/>
        <n v="3266"/>
        <n v="3168"/>
        <n v="3126"/>
        <n v="3042"/>
        <n v="3007"/>
        <n v="2993"/>
        <n v="3588"/>
        <n v="3574"/>
        <n v="3539"/>
        <n v="3469"/>
        <n v="3462"/>
        <n v="3315"/>
        <n v="4001"/>
        <n v="3980"/>
        <n v="3966"/>
        <n v="3917"/>
        <n v="3875"/>
        <n v="3833"/>
        <n v="3819"/>
        <n v="3679"/>
        <n v="3287"/>
        <n v="3259"/>
        <n v="3252"/>
        <n v="3224"/>
        <n v="3196"/>
        <n v="3147"/>
        <n v="3119"/>
        <n v="3077"/>
        <n v="2986"/>
        <n v="2979"/>
        <n v="3651"/>
        <n v="3623"/>
        <n v="3602"/>
        <n v="3567"/>
        <n v="3532"/>
        <n v="3490"/>
        <n v="3483"/>
        <n v="3476"/>
        <n v="3441"/>
        <n v="3378"/>
        <n v="3336"/>
        <n v="4008"/>
        <n v="3994"/>
        <n v="3987"/>
        <n v="3945"/>
        <n v="3896"/>
        <n v="3847"/>
        <n v="3721"/>
        <n v="3707"/>
      </sharedItems>
    </cacheField>
    <cacheField name="VLOOK UP SALARY" numFmtId="0">
      <sharedItems containsMixedTypes="1" containsNumber="1" containsInteger="1" minValue="30280" maxValue="99621"/>
    </cacheField>
    <cacheField name="INDEX AND MATCH" numFmtId="0">
      <sharedItems containsMixedTypes="1" containsNumber="1" containsInteger="1" minValue="30280" maxValue="9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60"/>
    <s v="Unknown"/>
    <x v="0"/>
    <x v="0"/>
    <s v="Unknown"/>
    <s v="Unknown"/>
    <x v="0"/>
    <s v="Unknown"/>
    <s v="user112@example.com"/>
    <x v="0"/>
    <s v="Unknown"/>
    <d v="2026-01-01T00:00:00"/>
    <d v="2026-01-01T09:01:11"/>
    <n v="1"/>
    <n v="1"/>
    <x v="0"/>
    <s v="Unknown"/>
    <s v="Unknown"/>
  </r>
  <r>
    <s v="EMP1120"/>
    <s v="Unknown"/>
    <x v="1"/>
    <x v="1"/>
    <s v="Unknown"/>
    <s v="Unknown"/>
    <x v="0"/>
    <s v="Unknown"/>
    <s v="user101@example.com"/>
    <x v="0"/>
    <s v="Unknown"/>
    <d v="2026-01-01T00:00:00"/>
    <d v="2026-01-01T09:01:11"/>
    <n v="1"/>
    <n v="1"/>
    <x v="0"/>
    <s v="Unknown"/>
    <s v="Unknown"/>
  </r>
  <r>
    <s v="EMP1111"/>
    <s v="Chris Lee"/>
    <x v="1"/>
    <x v="1"/>
    <n v="34306"/>
    <d v="2017-02-19T00:00:00"/>
    <x v="0"/>
    <s v="Female"/>
    <s v="user192@example.com"/>
    <x v="0"/>
    <n v="2017"/>
    <d v="2026-01-01T00:00:00"/>
    <d v="2026-01-01T09:01:11"/>
    <n v="1"/>
    <n v="1"/>
    <x v="1"/>
    <n v="34306"/>
    <n v="34306"/>
  </r>
  <r>
    <s v="EMP1116"/>
    <s v="Bob Johnson"/>
    <x v="0"/>
    <x v="2"/>
    <n v="38837"/>
    <d v="2017-03-26T00:00:00"/>
    <x v="0"/>
    <s v="Female"/>
    <s v="user192@example.com"/>
    <x v="0"/>
    <n v="2017"/>
    <d v="2026-01-01T00:00:00"/>
    <d v="2026-01-01T09:01:11"/>
    <n v="1"/>
    <n v="1"/>
    <x v="2"/>
    <n v="38837"/>
    <n v="38837"/>
  </r>
  <r>
    <s v="EMP1123"/>
    <s v="Jane Smith"/>
    <x v="2"/>
    <x v="0"/>
    <n v="30357"/>
    <d v="2017-05-14T00:00:00"/>
    <x v="0"/>
    <s v="Male"/>
    <s v="user145@example.com"/>
    <x v="0"/>
    <n v="2017"/>
    <d v="2026-01-01T00:00:00"/>
    <d v="2026-01-01T09:01:11"/>
    <n v="1"/>
    <n v="1"/>
    <x v="3"/>
    <n v="30357"/>
    <n v="30357"/>
  </r>
  <r>
    <s v="EMP1125"/>
    <s v="John Doe"/>
    <x v="3"/>
    <x v="3"/>
    <n v="90019"/>
    <d v="2017-05-28T00:00:00"/>
    <x v="0"/>
    <s v="Male"/>
    <s v="user52@example.com"/>
    <x v="0"/>
    <n v="2017"/>
    <d v="2026-01-01T00:00:00"/>
    <d v="2026-01-01T09:01:11"/>
    <n v="1"/>
    <n v="1"/>
    <x v="4"/>
    <n v="90019"/>
    <n v="90019"/>
  </r>
  <r>
    <s v="EMP1141"/>
    <s v="Jane Smith"/>
    <x v="0"/>
    <x v="1"/>
    <n v="66882"/>
    <d v="2017-09-17T00:00:00"/>
    <x v="0"/>
    <s v="Other"/>
    <s v="user103@example.com"/>
    <x v="0"/>
    <n v="2017"/>
    <d v="2026-01-01T00:00:00"/>
    <d v="2026-01-01T09:01:11"/>
    <n v="1"/>
    <n v="1"/>
    <x v="5"/>
    <n v="66882"/>
    <n v="66882"/>
  </r>
  <r>
    <s v="EMP1145"/>
    <s v="Sam Wilson"/>
    <x v="4"/>
    <x v="2"/>
    <n v="35627"/>
    <d v="2017-10-15T00:00:00"/>
    <x v="0"/>
    <s v="Female"/>
    <s v="user188@example.com"/>
    <x v="0"/>
    <n v="2017"/>
    <d v="2026-01-01T00:00:00"/>
    <d v="2026-01-01T09:01:11"/>
    <n v="1"/>
    <n v="1"/>
    <x v="6"/>
    <n v="35627"/>
    <n v="35627"/>
  </r>
  <r>
    <s v="EMP1149"/>
    <s v="Sam Wilson"/>
    <x v="0"/>
    <x v="4"/>
    <n v="98475"/>
    <d v="2017-11-12T00:00:00"/>
    <x v="0"/>
    <s v="Other"/>
    <s v="user30@example.com"/>
    <x v="0"/>
    <n v="2017"/>
    <d v="2026-01-01T00:00:00"/>
    <d v="2026-01-01T09:01:11"/>
    <n v="1"/>
    <n v="1"/>
    <x v="7"/>
    <n v="98475"/>
    <n v="98475"/>
  </r>
  <r>
    <s v="EMP1054"/>
    <s v="Bob Johnson"/>
    <x v="0"/>
    <x v="5"/>
    <n v="75633"/>
    <d v="2016-01-17T00:00:00"/>
    <x v="0"/>
    <s v="Other"/>
    <s v="user92@example.com"/>
    <x v="0"/>
    <n v="2016"/>
    <d v="2026-01-01T00:00:00"/>
    <d v="2026-01-01T09:01:11"/>
    <n v="1"/>
    <n v="1"/>
    <x v="8"/>
    <n v="75633"/>
    <n v="75633"/>
  </r>
  <r>
    <s v="EMP1055"/>
    <s v="Chris Lee"/>
    <x v="2"/>
    <x v="1"/>
    <n v="74815"/>
    <d v="2016-01-24T00:00:00"/>
    <x v="0"/>
    <s v="Female"/>
    <s v="user50@example.com"/>
    <x v="0"/>
    <n v="2016"/>
    <d v="2026-01-01T00:00:00"/>
    <d v="2026-01-01T09:01:11"/>
    <n v="1"/>
    <n v="1"/>
    <x v="9"/>
    <n v="74815"/>
    <n v="74815"/>
  </r>
  <r>
    <s v="EMP1058"/>
    <s v="Sam Wilson"/>
    <x v="0"/>
    <x v="3"/>
    <n v="84924"/>
    <d v="2016-02-14T00:00:00"/>
    <x v="0"/>
    <s v="Male"/>
    <s v="user150@example.com"/>
    <x v="0"/>
    <n v="2016"/>
    <d v="2026-01-01T00:00:00"/>
    <d v="2026-01-01T09:01:11"/>
    <n v="1"/>
    <n v="1"/>
    <x v="10"/>
    <n v="84924"/>
    <n v="84924"/>
  </r>
  <r>
    <s v="EMP1062"/>
    <s v="Chris Lee"/>
    <x v="1"/>
    <x v="5"/>
    <n v="97981"/>
    <d v="2016-03-13T00:00:00"/>
    <x v="0"/>
    <s v="Female"/>
    <s v="user71@example.com"/>
    <x v="0"/>
    <n v="2016"/>
    <d v="2026-01-01T00:00:00"/>
    <d v="2026-01-01T09:01:11"/>
    <n v="1"/>
    <n v="1"/>
    <x v="11"/>
    <n v="97981"/>
    <n v="97981"/>
  </r>
  <r>
    <s v="EMP1070"/>
    <s v="Eve Adams"/>
    <x v="4"/>
    <x v="2"/>
    <n v="69952"/>
    <d v="2016-05-08T00:00:00"/>
    <x v="0"/>
    <s v="Female"/>
    <s v="invalid_email"/>
    <x v="0"/>
    <n v="2016"/>
    <d v="2026-01-01T00:00:00"/>
    <d v="2026-01-01T09:01:11"/>
    <n v="1"/>
    <n v="1"/>
    <x v="12"/>
    <n v="69952"/>
    <n v="69952"/>
  </r>
  <r>
    <s v="EMP1085"/>
    <s v="Chris Lee"/>
    <x v="3"/>
    <x v="3"/>
    <n v="35163"/>
    <d v="2016-08-21T00:00:00"/>
    <x v="0"/>
    <s v="Other"/>
    <s v="user197@example.com"/>
    <x v="0"/>
    <n v="2016"/>
    <d v="2026-01-01T00:00:00"/>
    <d v="2026-01-01T09:01:11"/>
    <n v="1"/>
    <n v="1"/>
    <x v="13"/>
    <n v="35163"/>
    <n v="35163"/>
  </r>
  <r>
    <s v="EMP1092"/>
    <s v="Jane Smith"/>
    <x v="1"/>
    <x v="3"/>
    <n v="80588"/>
    <d v="2016-10-09T00:00:00"/>
    <x v="0"/>
    <s v="Male"/>
    <s v="user98@example.com"/>
    <x v="0"/>
    <n v="2016"/>
    <d v="2026-01-01T00:00:00"/>
    <d v="2026-01-01T09:01:11"/>
    <n v="1"/>
    <n v="1"/>
    <x v="14"/>
    <n v="80588"/>
    <n v="80588"/>
  </r>
  <r>
    <s v="EMP1103"/>
    <s v="Alice Brown"/>
    <x v="0"/>
    <x v="3"/>
    <n v="79145"/>
    <d v="2016-12-25T00:00:00"/>
    <x v="0"/>
    <s v="Other"/>
    <s v="user20@example.com"/>
    <x v="0"/>
    <n v="2016"/>
    <d v="2026-01-01T00:00:00"/>
    <d v="2026-01-01T09:01:11"/>
    <n v="1"/>
    <n v="1"/>
    <x v="15"/>
    <n v="79145"/>
    <n v="79145"/>
  </r>
  <r>
    <s v="EMP1011"/>
    <s v="Sam Wilson"/>
    <x v="1"/>
    <x v="1"/>
    <n v="91180"/>
    <d v="2015-03-22T00:00:00"/>
    <x v="0"/>
    <s v="Male"/>
    <s v="user1@example.com"/>
    <x v="0"/>
    <n v="2015"/>
    <d v="2026-01-01T00:00:00"/>
    <d v="2026-01-01T09:01:11"/>
    <n v="1"/>
    <n v="1"/>
    <x v="16"/>
    <n v="91180"/>
    <n v="91180"/>
  </r>
  <r>
    <s v="EMP1012"/>
    <s v="Bob Johnson"/>
    <x v="4"/>
    <x v="3"/>
    <n v="96418"/>
    <d v="2015-03-29T00:00:00"/>
    <x v="0"/>
    <s v="Male"/>
    <s v="user106@example.com"/>
    <x v="0"/>
    <n v="2015"/>
    <d v="2026-01-01T00:00:00"/>
    <d v="2026-01-01T09:01:11"/>
    <n v="1"/>
    <n v="1"/>
    <x v="17"/>
    <n v="96418"/>
    <n v="96418"/>
  </r>
  <r>
    <s v="EMP1019"/>
    <s v="Eve Adams"/>
    <x v="2"/>
    <x v="4"/>
    <n v="67531"/>
    <d v="2015-05-17T00:00:00"/>
    <x v="0"/>
    <s v="Female"/>
    <s v="user151@example.com"/>
    <x v="0"/>
    <n v="2015"/>
    <d v="2026-01-01T00:00:00"/>
    <d v="2026-01-01T09:01:11"/>
    <n v="1"/>
    <n v="1"/>
    <x v="18"/>
    <n v="67531"/>
    <n v="67531"/>
  </r>
  <r>
    <s v="EMP1022"/>
    <s v="Eve Adams"/>
    <x v="3"/>
    <x v="4"/>
    <n v="38333"/>
    <d v="2015-06-07T00:00:00"/>
    <x v="0"/>
    <s v="Female"/>
    <s v="user128@example.com"/>
    <x v="0"/>
    <n v="2015"/>
    <d v="2026-01-01T00:00:00"/>
    <d v="2026-01-01T09:01:11"/>
    <n v="1"/>
    <n v="1"/>
    <x v="19"/>
    <n v="38333"/>
    <n v="38333"/>
  </r>
  <r>
    <s v="EMP1029"/>
    <s v="Bob Johnson"/>
    <x v="0"/>
    <x v="5"/>
    <n v="92959"/>
    <d v="2015-07-26T00:00:00"/>
    <x v="0"/>
    <s v="Female"/>
    <s v="user83@example.com"/>
    <x v="0"/>
    <n v="2015"/>
    <d v="2026-01-01T00:00:00"/>
    <d v="2026-01-01T09:01:11"/>
    <n v="1"/>
    <n v="1"/>
    <x v="20"/>
    <n v="92959"/>
    <n v="92959"/>
  </r>
  <r>
    <s v="EMP1038"/>
    <s v="John Doe"/>
    <x v="0"/>
    <x v="5"/>
    <n v="52093"/>
    <d v="2015-09-27T00:00:00"/>
    <x v="0"/>
    <s v="Male"/>
    <s v="user154@example.com"/>
    <x v="0"/>
    <n v="2015"/>
    <d v="2026-01-01T00:00:00"/>
    <d v="2026-01-01T09:01:11"/>
    <n v="1"/>
    <n v="1"/>
    <x v="21"/>
    <n v="52093"/>
    <n v="52093"/>
  </r>
  <r>
    <s v="EMP1049"/>
    <s v="Eve Adams"/>
    <x v="5"/>
    <x v="0"/>
    <n v="78720"/>
    <d v="2015-12-13T00:00:00"/>
    <x v="0"/>
    <s v="Female"/>
    <s v="user89@example.com"/>
    <x v="0"/>
    <n v="2015"/>
    <d v="2026-01-01T00:00:00"/>
    <d v="2026-01-01T09:01:11"/>
    <n v="1"/>
    <n v="1"/>
    <x v="22"/>
    <n v="78720"/>
    <n v="78720"/>
  </r>
  <r>
    <s v="EMP1051"/>
    <s v="Sam Wilson"/>
    <x v="4"/>
    <x v="4"/>
    <n v="39423"/>
    <d v="2015-12-27T00:00:00"/>
    <x v="0"/>
    <s v="Male"/>
    <s v="user59@example.com"/>
    <x v="0"/>
    <n v="2015"/>
    <d v="2026-01-01T00:00:00"/>
    <d v="2026-01-01T09:01:11"/>
    <n v="1"/>
    <n v="1"/>
    <x v="23"/>
    <n v="39423"/>
    <n v="39423"/>
  </r>
  <r>
    <s v="EMP1040"/>
    <s v="Bob Johnson"/>
    <x v="3"/>
    <x v="5"/>
    <s v="Unknown"/>
    <s v="Unknown"/>
    <x v="1"/>
    <s v="Female"/>
    <s v="user89@example.com"/>
    <x v="1"/>
    <s v="Unknown"/>
    <d v="2026-01-01T00:00:00"/>
    <d v="2026-01-01T09:01:11"/>
    <n v="1"/>
    <n v="1"/>
    <x v="0"/>
    <s v="Unknown"/>
    <s v="Unknown"/>
  </r>
  <r>
    <s v="EMP1114"/>
    <s v="Eve Adams"/>
    <x v="0"/>
    <x v="5"/>
    <n v="44627"/>
    <d v="2017-03-12T00:00:00"/>
    <x v="1"/>
    <s v="Female"/>
    <s v="user97@example.com"/>
    <x v="1"/>
    <n v="2017"/>
    <d v="2026-01-01T00:00:00"/>
    <d v="2026-01-01T09:01:11"/>
    <n v="1"/>
    <n v="1"/>
    <x v="24"/>
    <n v="44627"/>
    <n v="44627"/>
  </r>
  <r>
    <s v="EMP1115"/>
    <s v="Bob Johnson"/>
    <x v="5"/>
    <x v="0"/>
    <n v="92343"/>
    <d v="2017-03-19T00:00:00"/>
    <x v="1"/>
    <s v="Female"/>
    <s v="user149@example.com"/>
    <x v="1"/>
    <n v="2017"/>
    <d v="2026-01-01T00:00:00"/>
    <d v="2026-01-01T09:01:11"/>
    <n v="1"/>
    <n v="1"/>
    <x v="25"/>
    <n v="92343"/>
    <n v="92343"/>
  </r>
  <r>
    <s v="EMP1136"/>
    <s v="Jane Smith"/>
    <x v="3"/>
    <x v="4"/>
    <n v="60335"/>
    <d v="2017-08-13T00:00:00"/>
    <x v="1"/>
    <s v="Other"/>
    <s v="user59@example.com"/>
    <x v="1"/>
    <n v="2017"/>
    <d v="2026-01-01T00:00:00"/>
    <d v="2026-01-01T09:01:11"/>
    <n v="1"/>
    <n v="1"/>
    <x v="26"/>
    <n v="60335"/>
    <n v="60335"/>
  </r>
  <r>
    <s v="EMP1138"/>
    <s v="Chris Lee"/>
    <x v="0"/>
    <x v="2"/>
    <n v="84750"/>
    <d v="2017-08-27T00:00:00"/>
    <x v="1"/>
    <s v="Female"/>
    <s v="user3@example.com"/>
    <x v="1"/>
    <n v="2017"/>
    <d v="2026-01-01T00:00:00"/>
    <d v="2026-01-01T09:01:11"/>
    <n v="1"/>
    <n v="1"/>
    <x v="27"/>
    <n v="84750"/>
    <n v="84750"/>
  </r>
  <r>
    <s v="EMP1140"/>
    <s v="Chris Lee"/>
    <x v="4"/>
    <x v="1"/>
    <s v="Unknown"/>
    <d v="2017-09-10T00:00:00"/>
    <x v="1"/>
    <s v="Other"/>
    <s v="invalid_email"/>
    <x v="1"/>
    <n v="2017"/>
    <d v="2026-01-01T00:00:00"/>
    <d v="2026-01-01T09:01:11"/>
    <n v="1"/>
    <n v="1"/>
    <x v="28"/>
    <s v="Unknown"/>
    <s v="Unknown"/>
  </r>
  <r>
    <s v="EMP1065"/>
    <s v="Sam Wilson"/>
    <x v="3"/>
    <x v="4"/>
    <n v="33468"/>
    <d v="2016-04-03T00:00:00"/>
    <x v="1"/>
    <s v="Male"/>
    <s v="user125@example.com"/>
    <x v="1"/>
    <n v="2016"/>
    <d v="2026-01-01T00:00:00"/>
    <d v="2026-01-01T09:01:11"/>
    <n v="1"/>
    <n v="1"/>
    <x v="29"/>
    <n v="33468"/>
    <n v="33468"/>
  </r>
  <r>
    <s v="EMP1073"/>
    <s v="John Doe"/>
    <x v="4"/>
    <x v="4"/>
    <n v="91101"/>
    <d v="2016-05-29T00:00:00"/>
    <x v="1"/>
    <s v="Female"/>
    <s v="user71@example.com"/>
    <x v="1"/>
    <n v="2016"/>
    <d v="2026-01-01T00:00:00"/>
    <d v="2026-01-01T09:01:11"/>
    <n v="1"/>
    <n v="1"/>
    <x v="30"/>
    <n v="91101"/>
    <n v="91101"/>
  </r>
  <r>
    <s v="EMP1084"/>
    <s v="John Doe"/>
    <x v="0"/>
    <x v="4"/>
    <n v="44682"/>
    <d v="2016-08-14T00:00:00"/>
    <x v="1"/>
    <s v="Female"/>
    <s v="user47@example.com"/>
    <x v="1"/>
    <n v="2016"/>
    <d v="2026-01-01T00:00:00"/>
    <d v="2026-01-01T09:01:11"/>
    <n v="1"/>
    <n v="1"/>
    <x v="31"/>
    <n v="44682"/>
    <n v="44682"/>
  </r>
  <r>
    <s v="EMP1086"/>
    <s v="Chris Lee"/>
    <x v="1"/>
    <x v="4"/>
    <n v="33483"/>
    <d v="2016-08-28T00:00:00"/>
    <x v="1"/>
    <s v="Male"/>
    <s v="user177@example.com"/>
    <x v="1"/>
    <n v="2016"/>
    <d v="2026-01-01T00:00:00"/>
    <d v="2026-01-01T09:01:11"/>
    <n v="1"/>
    <n v="1"/>
    <x v="32"/>
    <n v="33483"/>
    <n v="33483"/>
  </r>
  <r>
    <s v="EMP1087"/>
    <s v="Sam Wilson"/>
    <x v="5"/>
    <x v="0"/>
    <n v="55303"/>
    <d v="2016-09-04T00:00:00"/>
    <x v="1"/>
    <s v="Male"/>
    <s v="user149@example.com"/>
    <x v="1"/>
    <n v="2016"/>
    <d v="2026-01-01T00:00:00"/>
    <d v="2026-01-01T09:01:11"/>
    <n v="1"/>
    <n v="1"/>
    <x v="33"/>
    <n v="55303"/>
    <n v="55303"/>
  </r>
  <r>
    <s v="EMP1093"/>
    <s v="Alice Brown"/>
    <x v="2"/>
    <x v="1"/>
    <n v="76238"/>
    <d v="2016-10-16T00:00:00"/>
    <x v="1"/>
    <s v="Male"/>
    <s v="user102@example.com"/>
    <x v="1"/>
    <n v="2016"/>
    <d v="2026-01-01T00:00:00"/>
    <d v="2026-01-01T09:01:11"/>
    <n v="1"/>
    <n v="1"/>
    <x v="34"/>
    <n v="76238"/>
    <n v="76238"/>
  </r>
  <r>
    <s v="EMP1099"/>
    <s v="Eve Adams"/>
    <x v="0"/>
    <x v="1"/>
    <n v="70096"/>
    <d v="2016-11-27T00:00:00"/>
    <x v="1"/>
    <s v="Male"/>
    <s v="user76@example.com"/>
    <x v="1"/>
    <n v="2016"/>
    <d v="2026-01-01T00:00:00"/>
    <d v="2026-01-01T09:01:11"/>
    <n v="1"/>
    <n v="1"/>
    <x v="35"/>
    <n v="70096"/>
    <n v="70096"/>
  </r>
  <r>
    <s v="EMP1013"/>
    <s v="Sam Wilson"/>
    <x v="2"/>
    <x v="4"/>
    <n v="62158"/>
    <d v="2015-04-05T00:00:00"/>
    <x v="1"/>
    <s v="Male"/>
    <s v="user180@example.com"/>
    <x v="1"/>
    <n v="2015"/>
    <d v="2026-01-01T00:00:00"/>
    <d v="2026-01-01T09:01:11"/>
    <n v="1"/>
    <n v="1"/>
    <x v="36"/>
    <n v="62158"/>
    <n v="62158"/>
  </r>
  <r>
    <s v="EMP1021"/>
    <s v="Jane Smith"/>
    <x v="5"/>
    <x v="3"/>
    <n v="98922"/>
    <d v="2015-05-31T00:00:00"/>
    <x v="1"/>
    <s v="Other"/>
    <s v="user77@example.com"/>
    <x v="1"/>
    <n v="2015"/>
    <d v="2026-01-01T00:00:00"/>
    <d v="2026-01-01T09:01:11"/>
    <n v="1"/>
    <n v="1"/>
    <x v="37"/>
    <n v="98922"/>
    <n v="98922"/>
  </r>
  <r>
    <s v="EMP1035"/>
    <s v="Alice Brown"/>
    <x v="2"/>
    <x v="5"/>
    <n v="54463"/>
    <d v="2015-09-06T00:00:00"/>
    <x v="1"/>
    <s v="Male"/>
    <s v="invalid_email"/>
    <x v="1"/>
    <n v="2015"/>
    <d v="2026-01-01T00:00:00"/>
    <d v="2026-01-01T09:01:11"/>
    <n v="1"/>
    <n v="1"/>
    <x v="38"/>
    <n v="54463"/>
    <n v="54463"/>
  </r>
  <r>
    <s v="EMP1047"/>
    <s v="Chris Lee"/>
    <x v="5"/>
    <x v="4"/>
    <n v="58245"/>
    <d v="2015-11-29T00:00:00"/>
    <x v="1"/>
    <s v="Male"/>
    <s v="user43@example.com"/>
    <x v="1"/>
    <n v="2015"/>
    <d v="2026-01-01T00:00:00"/>
    <d v="2026-01-01T09:01:11"/>
    <n v="1"/>
    <n v="1"/>
    <x v="39"/>
    <n v="58245"/>
    <n v="58245"/>
  </r>
  <r>
    <s v="EMP1080"/>
    <s v="Eve Adams"/>
    <x v="0"/>
    <x v="4"/>
    <s v="Unknown"/>
    <s v="Unknown"/>
    <x v="2"/>
    <s v="Female"/>
    <s v="user135@example.com"/>
    <x v="2"/>
    <s v="Unknown"/>
    <d v="2026-01-01T00:00:00"/>
    <d v="2026-01-01T09:01:11"/>
    <n v="1"/>
    <n v="1"/>
    <x v="0"/>
    <s v="Unknown"/>
    <s v="Unknown"/>
  </r>
  <r>
    <s v="EMP1072"/>
    <s v="Bob Johnson"/>
    <x v="0"/>
    <x v="4"/>
    <n v="56512"/>
    <d v="2016-05-22T00:00:00"/>
    <x v="2"/>
    <s v="Other"/>
    <s v="user153@example.com"/>
    <x v="2"/>
    <n v="2016"/>
    <d v="2026-01-01T00:00:00"/>
    <d v="2026-01-01T09:01:11"/>
    <n v="1"/>
    <n v="1"/>
    <x v="40"/>
    <n v="56512"/>
    <n v="56512"/>
  </r>
  <r>
    <s v="EMP1043"/>
    <s v="Alice Brown"/>
    <x v="0"/>
    <x v="2"/>
    <n v="35326"/>
    <d v="2015-11-01T00:00:00"/>
    <x v="2"/>
    <s v="Female"/>
    <s v="user57@example.com"/>
    <x v="2"/>
    <n v="2015"/>
    <d v="2026-01-01T00:00:00"/>
    <d v="2026-01-01T09:01:11"/>
    <n v="1"/>
    <n v="1"/>
    <x v="41"/>
    <n v="35326"/>
    <n v="35326"/>
  </r>
  <r>
    <s v="EMP1130"/>
    <s v="Alice Brown"/>
    <x v="4"/>
    <x v="4"/>
    <n v="48289"/>
    <s v="Unknown"/>
    <x v="3"/>
    <s v="Male"/>
    <s v="user25@example.com"/>
    <x v="3"/>
    <s v="Unknown"/>
    <d v="2026-01-01T00:00:00"/>
    <d v="2026-01-01T09:01:11"/>
    <n v="1"/>
    <n v="1"/>
    <x v="0"/>
    <n v="48289"/>
    <n v="48289"/>
  </r>
  <r>
    <s v="EMP1105"/>
    <s v="Unknown"/>
    <x v="5"/>
    <x v="5"/>
    <n v="87963"/>
    <d v="2017-01-08T00:00:00"/>
    <x v="3"/>
    <s v="Other"/>
    <s v="invalid_email"/>
    <x v="3"/>
    <n v="2017"/>
    <d v="2026-01-01T00:00:00"/>
    <d v="2026-01-01T09:01:11"/>
    <n v="1"/>
    <n v="1"/>
    <x v="42"/>
    <n v="87963"/>
    <n v="87963"/>
  </r>
  <r>
    <s v="EMP1118"/>
    <s v="Chris Lee"/>
    <x v="4"/>
    <x v="4"/>
    <n v="95032"/>
    <d v="2017-04-09T00:00:00"/>
    <x v="3"/>
    <s v="Male"/>
    <s v="user23@example.com"/>
    <x v="3"/>
    <n v="2017"/>
    <d v="2026-01-01T00:00:00"/>
    <d v="2026-01-01T09:01:11"/>
    <n v="1"/>
    <n v="1"/>
    <x v="43"/>
    <n v="95032"/>
    <n v="95032"/>
  </r>
  <r>
    <s v="EMP1122"/>
    <s v="Bob Johnson"/>
    <x v="4"/>
    <x v="0"/>
    <n v="52036"/>
    <d v="2017-05-07T00:00:00"/>
    <x v="3"/>
    <s v="Male"/>
    <s v="user171@example.com"/>
    <x v="3"/>
    <n v="2017"/>
    <d v="2026-01-01T00:00:00"/>
    <d v="2026-01-01T09:01:11"/>
    <n v="1"/>
    <n v="1"/>
    <x v="44"/>
    <n v="52036"/>
    <n v="52036"/>
  </r>
  <r>
    <s v="EMP1126"/>
    <s v="Bob Johnson"/>
    <x v="2"/>
    <x v="0"/>
    <n v="71494"/>
    <d v="2017-06-04T00:00:00"/>
    <x v="3"/>
    <s v="Male"/>
    <s v="user100@example.com"/>
    <x v="3"/>
    <n v="2017"/>
    <d v="2026-01-01T00:00:00"/>
    <d v="2026-01-01T09:01:11"/>
    <n v="1"/>
    <n v="1"/>
    <x v="45"/>
    <n v="71494"/>
    <n v="71494"/>
  </r>
  <r>
    <s v="EMP1131"/>
    <s v="Sam Wilson"/>
    <x v="0"/>
    <x v="0"/>
    <n v="34402"/>
    <d v="2017-07-09T00:00:00"/>
    <x v="3"/>
    <s v="Other"/>
    <s v="user42@example.com"/>
    <x v="3"/>
    <n v="2017"/>
    <d v="2026-01-01T00:00:00"/>
    <d v="2026-01-01T09:01:11"/>
    <n v="1"/>
    <n v="1"/>
    <x v="46"/>
    <n v="34402"/>
    <n v="34402"/>
  </r>
  <r>
    <s v="EMP1132"/>
    <s v="Eve Adams"/>
    <x v="5"/>
    <x v="1"/>
    <n v="38678"/>
    <d v="2017-07-16T00:00:00"/>
    <x v="3"/>
    <s v="Other"/>
    <s v="user188@example.com"/>
    <x v="3"/>
    <n v="2017"/>
    <d v="2026-01-01T00:00:00"/>
    <d v="2026-01-01T09:01:11"/>
    <n v="1"/>
    <n v="1"/>
    <x v="47"/>
    <n v="38678"/>
    <n v="38678"/>
  </r>
  <r>
    <s v="EMP1133"/>
    <s v="Chris Lee"/>
    <x v="5"/>
    <x v="0"/>
    <n v="45758"/>
    <d v="2017-07-23T00:00:00"/>
    <x v="3"/>
    <s v="Male"/>
    <s v="user44@example.com"/>
    <x v="3"/>
    <n v="2017"/>
    <d v="2026-01-01T00:00:00"/>
    <d v="2026-01-01T09:01:11"/>
    <n v="1"/>
    <n v="1"/>
    <x v="48"/>
    <n v="45758"/>
    <n v="45758"/>
  </r>
  <r>
    <s v="EMP1135"/>
    <s v="Unknown"/>
    <x v="1"/>
    <x v="5"/>
    <n v="39280"/>
    <d v="2017-08-06T00:00:00"/>
    <x v="3"/>
    <s v="Female"/>
    <s v="user198@example.com"/>
    <x v="3"/>
    <n v="2017"/>
    <d v="2026-01-01T00:00:00"/>
    <d v="2026-01-01T09:01:11"/>
    <n v="1"/>
    <n v="1"/>
    <x v="49"/>
    <n v="39280"/>
    <n v="39280"/>
  </r>
  <r>
    <s v="EMP1142"/>
    <s v="Alice Brown"/>
    <x v="0"/>
    <x v="3"/>
    <n v="86775"/>
    <d v="2017-09-24T00:00:00"/>
    <x v="3"/>
    <s v="Other"/>
    <s v="user190@example.com"/>
    <x v="3"/>
    <n v="2017"/>
    <d v="2026-01-01T00:00:00"/>
    <d v="2026-01-01T09:01:11"/>
    <n v="1"/>
    <n v="1"/>
    <x v="50"/>
    <n v="86775"/>
    <n v="86775"/>
  </r>
  <r>
    <s v="EMP1053"/>
    <s v="Eve Adams"/>
    <x v="3"/>
    <x v="5"/>
    <n v="33352"/>
    <d v="2016-01-10T00:00:00"/>
    <x v="3"/>
    <s v="Female"/>
    <s v="user200@example.com"/>
    <x v="3"/>
    <n v="2016"/>
    <d v="2026-01-01T00:00:00"/>
    <d v="2026-01-01T09:01:11"/>
    <n v="1"/>
    <n v="1"/>
    <x v="51"/>
    <n v="33352"/>
    <n v="33352"/>
  </r>
  <r>
    <s v="EMP1057"/>
    <s v="Eve Adams"/>
    <x v="2"/>
    <x v="4"/>
    <n v="96949"/>
    <d v="2016-02-07T00:00:00"/>
    <x v="3"/>
    <s v="Female"/>
    <s v="user103@example.com"/>
    <x v="3"/>
    <n v="2016"/>
    <d v="2026-01-01T00:00:00"/>
    <d v="2026-01-01T09:01:11"/>
    <n v="1"/>
    <n v="1"/>
    <x v="52"/>
    <n v="96949"/>
    <n v="96949"/>
  </r>
  <r>
    <s v="EMP1066"/>
    <s v="Sam Wilson"/>
    <x v="2"/>
    <x v="2"/>
    <n v="96365"/>
    <d v="2016-04-10T00:00:00"/>
    <x v="3"/>
    <s v="Other"/>
    <s v="user90@example.com"/>
    <x v="3"/>
    <n v="2016"/>
    <d v="2026-01-01T00:00:00"/>
    <d v="2026-01-01T09:01:11"/>
    <n v="1"/>
    <n v="1"/>
    <x v="53"/>
    <n v="96365"/>
    <n v="96365"/>
  </r>
  <r>
    <s v="EMP1067"/>
    <s v="Alice Brown"/>
    <x v="4"/>
    <x v="4"/>
    <n v="61942"/>
    <d v="2016-04-17T00:00:00"/>
    <x v="3"/>
    <s v="Female"/>
    <s v="user192@example.com"/>
    <x v="3"/>
    <n v="2016"/>
    <d v="2026-01-01T00:00:00"/>
    <d v="2026-01-01T09:01:11"/>
    <n v="1"/>
    <n v="1"/>
    <x v="54"/>
    <n v="61942"/>
    <n v="61942"/>
  </r>
  <r>
    <s v="EMP1071"/>
    <s v="Eve Adams"/>
    <x v="0"/>
    <x v="1"/>
    <n v="85065"/>
    <d v="2016-05-15T00:00:00"/>
    <x v="3"/>
    <s v="Female"/>
    <s v="user142@example.com"/>
    <x v="3"/>
    <n v="2016"/>
    <d v="2026-01-01T00:00:00"/>
    <d v="2026-01-01T09:01:11"/>
    <n v="1"/>
    <n v="1"/>
    <x v="55"/>
    <n v="85065"/>
    <n v="85065"/>
  </r>
  <r>
    <s v="EMP1081"/>
    <s v="Jane Smith"/>
    <x v="4"/>
    <x v="1"/>
    <n v="95621"/>
    <d v="2016-07-24T00:00:00"/>
    <x v="3"/>
    <s v="Female"/>
    <s v="user156@example.com"/>
    <x v="3"/>
    <n v="2016"/>
    <d v="2026-01-01T00:00:00"/>
    <d v="2026-01-01T09:01:11"/>
    <n v="1"/>
    <n v="1"/>
    <x v="56"/>
    <n v="95621"/>
    <n v="95621"/>
  </r>
  <r>
    <s v="EMP1088"/>
    <s v="Chris Lee"/>
    <x v="1"/>
    <x v="3"/>
    <n v="63434"/>
    <d v="2016-09-11T00:00:00"/>
    <x v="3"/>
    <s v="Male"/>
    <s v="user48@example.com"/>
    <x v="3"/>
    <n v="2016"/>
    <d v="2026-01-01T00:00:00"/>
    <d v="2026-01-01T09:01:11"/>
    <n v="1"/>
    <n v="1"/>
    <x v="57"/>
    <n v="63434"/>
    <n v="63434"/>
  </r>
  <r>
    <s v="EMP1089"/>
    <s v="Jane Smith"/>
    <x v="2"/>
    <x v="2"/>
    <n v="38830"/>
    <d v="2016-09-18T00:00:00"/>
    <x v="3"/>
    <s v="Other"/>
    <s v="user149@example.com"/>
    <x v="3"/>
    <n v="2016"/>
    <d v="2026-01-01T00:00:00"/>
    <d v="2026-01-01T09:01:11"/>
    <n v="1"/>
    <n v="1"/>
    <x v="58"/>
    <n v="38830"/>
    <n v="38830"/>
  </r>
  <r>
    <s v="EMP1090"/>
    <s v="Unknown"/>
    <x v="0"/>
    <x v="5"/>
    <n v="50741"/>
    <d v="2016-09-25T00:00:00"/>
    <x v="3"/>
    <s v="Unknown"/>
    <s v="user65@example.com"/>
    <x v="3"/>
    <n v="2016"/>
    <d v="2026-01-01T00:00:00"/>
    <d v="2026-01-01T09:01:11"/>
    <n v="1"/>
    <n v="1"/>
    <x v="59"/>
    <n v="50741"/>
    <n v="50741"/>
  </r>
  <r>
    <s v="EMP1096"/>
    <s v="Jane Smith"/>
    <x v="3"/>
    <x v="1"/>
    <n v="72939"/>
    <d v="2016-11-06T00:00:00"/>
    <x v="3"/>
    <s v="Male"/>
    <s v="user191@example.com"/>
    <x v="3"/>
    <n v="2016"/>
    <d v="2026-01-01T00:00:00"/>
    <d v="2026-01-01T09:01:11"/>
    <n v="1"/>
    <n v="1"/>
    <x v="60"/>
    <n v="72939"/>
    <n v="72939"/>
  </r>
  <r>
    <s v="EMP1015"/>
    <s v="Unknown"/>
    <x v="1"/>
    <x v="4"/>
    <n v="92443"/>
    <d v="2015-04-19T00:00:00"/>
    <x v="3"/>
    <s v="Other"/>
    <s v="user3@example.com"/>
    <x v="3"/>
    <n v="2015"/>
    <d v="2026-01-01T00:00:00"/>
    <d v="2026-01-01T09:01:11"/>
    <n v="1"/>
    <n v="1"/>
    <x v="61"/>
    <n v="92443"/>
    <n v="92443"/>
  </r>
  <r>
    <s v="EMP1023"/>
    <s v="Alice Brown"/>
    <x v="0"/>
    <x v="5"/>
    <n v="36515"/>
    <d v="2015-06-14T00:00:00"/>
    <x v="3"/>
    <s v="Male"/>
    <s v="user149@example.com"/>
    <x v="3"/>
    <n v="2015"/>
    <d v="2026-01-01T00:00:00"/>
    <d v="2026-01-01T09:01:11"/>
    <n v="1"/>
    <n v="1"/>
    <x v="62"/>
    <n v="36515"/>
    <n v="36515"/>
  </r>
  <r>
    <s v="EMP1025"/>
    <s v="Chris Lee"/>
    <x v="2"/>
    <x v="3"/>
    <n v="52272"/>
    <d v="2015-06-28T00:00:00"/>
    <x v="3"/>
    <s v="Male"/>
    <s v="user41@example.com"/>
    <x v="3"/>
    <n v="2015"/>
    <d v="2026-01-01T00:00:00"/>
    <d v="2026-01-01T09:01:11"/>
    <n v="1"/>
    <n v="1"/>
    <x v="63"/>
    <n v="52272"/>
    <n v="52272"/>
  </r>
  <r>
    <s v="EMP1027"/>
    <s v="Alice Brown"/>
    <x v="1"/>
    <x v="5"/>
    <n v="41448"/>
    <d v="2015-07-12T00:00:00"/>
    <x v="3"/>
    <s v="Other"/>
    <s v="user103@example.com"/>
    <x v="3"/>
    <n v="2015"/>
    <d v="2026-01-01T00:00:00"/>
    <d v="2026-01-01T09:01:11"/>
    <n v="1"/>
    <n v="1"/>
    <x v="64"/>
    <n v="41448"/>
    <n v="41448"/>
  </r>
  <r>
    <s v="EMP1031"/>
    <s v="Eve Adams"/>
    <x v="5"/>
    <x v="0"/>
    <n v="92299"/>
    <d v="2015-08-09T00:00:00"/>
    <x v="3"/>
    <s v="Male"/>
    <s v="user143@example.com"/>
    <x v="3"/>
    <n v="2015"/>
    <d v="2026-01-01T00:00:00"/>
    <d v="2026-01-01T09:01:11"/>
    <n v="1"/>
    <n v="1"/>
    <x v="65"/>
    <n v="92299"/>
    <n v="92299"/>
  </r>
  <r>
    <s v="EMP1032"/>
    <s v="Sam Wilson"/>
    <x v="5"/>
    <x v="3"/>
    <n v="95586"/>
    <d v="2015-08-16T00:00:00"/>
    <x v="3"/>
    <s v="Other"/>
    <s v="user190@example.com"/>
    <x v="3"/>
    <n v="2015"/>
    <d v="2026-01-01T00:00:00"/>
    <d v="2026-01-01T09:01:11"/>
    <n v="1"/>
    <n v="1"/>
    <x v="66"/>
    <n v="95586"/>
    <n v="95586"/>
  </r>
  <r>
    <s v="EMP1034"/>
    <s v="John Doe"/>
    <x v="4"/>
    <x v="2"/>
    <n v="79549"/>
    <d v="2015-08-30T00:00:00"/>
    <x v="3"/>
    <s v="Male"/>
    <s v="user198@example.com"/>
    <x v="3"/>
    <n v="2015"/>
    <d v="2026-01-01T00:00:00"/>
    <d v="2026-01-01T09:01:11"/>
    <n v="1"/>
    <n v="1"/>
    <x v="67"/>
    <n v="79549"/>
    <n v="79549"/>
  </r>
  <r>
    <s v="EMP1039"/>
    <s v="Chris Lee"/>
    <x v="5"/>
    <x v="5"/>
    <n v="48224"/>
    <d v="2015-10-04T00:00:00"/>
    <x v="3"/>
    <s v="Male"/>
    <s v="user42@example.com"/>
    <x v="3"/>
    <n v="2015"/>
    <d v="2026-01-01T00:00:00"/>
    <d v="2026-01-01T09:01:11"/>
    <n v="1"/>
    <n v="1"/>
    <x v="68"/>
    <n v="48224"/>
    <n v="48224"/>
  </r>
  <r>
    <s v="EMP1045"/>
    <s v="Unknown"/>
    <x v="5"/>
    <x v="3"/>
    <n v="58962"/>
    <d v="2015-11-15T00:00:00"/>
    <x v="3"/>
    <s v="Other"/>
    <s v="user106@example.com"/>
    <x v="3"/>
    <n v="2015"/>
    <d v="2026-01-01T00:00:00"/>
    <d v="2026-01-01T09:01:11"/>
    <n v="1"/>
    <n v="1"/>
    <x v="69"/>
    <n v="58962"/>
    <n v="58962"/>
  </r>
  <r>
    <s v="EMP1046"/>
    <s v="Chris Lee"/>
    <x v="1"/>
    <x v="0"/>
    <n v="92701"/>
    <d v="2015-11-22T00:00:00"/>
    <x v="3"/>
    <s v="Other"/>
    <s v="user199@example.com"/>
    <x v="3"/>
    <n v="2015"/>
    <d v="2026-01-01T00:00:00"/>
    <d v="2026-01-01T09:01:11"/>
    <n v="1"/>
    <n v="1"/>
    <x v="70"/>
    <n v="92701"/>
    <n v="92701"/>
  </r>
  <r>
    <s v="EMP1106"/>
    <s v="Eve Adams"/>
    <x v="1"/>
    <x v="3"/>
    <n v="48325"/>
    <d v="2017-01-15T00:00:00"/>
    <x v="2"/>
    <s v="Male"/>
    <s v="user189@example.com"/>
    <x v="4"/>
    <n v="2017"/>
    <d v="2026-01-01T00:00:00"/>
    <d v="2026-01-01T09:01:11"/>
    <n v="1"/>
    <n v="1"/>
    <x v="71"/>
    <n v="48325"/>
    <n v="48325"/>
  </r>
  <r>
    <s v="EMP1094"/>
    <s v="Bob Johnson"/>
    <x v="1"/>
    <x v="4"/>
    <n v="33264"/>
    <d v="2016-10-23T00:00:00"/>
    <x v="2"/>
    <s v="Female"/>
    <s v="user148@example.com"/>
    <x v="4"/>
    <n v="2016"/>
    <d v="2026-01-01T00:00:00"/>
    <d v="2026-01-01T09:01:11"/>
    <n v="1"/>
    <n v="1"/>
    <x v="72"/>
    <n v="33264"/>
    <n v="33264"/>
  </r>
  <r>
    <s v="EMP1098"/>
    <s v="Bob Johnson"/>
    <x v="1"/>
    <x v="2"/>
    <n v="70470"/>
    <d v="2016-11-20T00:00:00"/>
    <x v="2"/>
    <s v="Male"/>
    <s v="user62@example.com"/>
    <x v="4"/>
    <n v="2016"/>
    <d v="2026-01-01T00:00:00"/>
    <d v="2026-01-01T09:01:11"/>
    <n v="1"/>
    <n v="1"/>
    <x v="73"/>
    <n v="70470"/>
    <n v="70470"/>
  </r>
  <r>
    <s v="EMP1101"/>
    <s v="Bob Johnson"/>
    <x v="1"/>
    <x v="0"/>
    <n v="66503"/>
    <d v="2016-12-11T00:00:00"/>
    <x v="2"/>
    <s v="Male"/>
    <s v="user200@example.com"/>
    <x v="4"/>
    <n v="2016"/>
    <d v="2026-01-01T00:00:00"/>
    <d v="2026-01-01T09:01:11"/>
    <n v="1"/>
    <n v="1"/>
    <x v="74"/>
    <n v="66503"/>
    <n v="66503"/>
  </r>
  <r>
    <s v="EMP1008"/>
    <s v="Alice Brown"/>
    <x v="1"/>
    <x v="0"/>
    <n v="97881"/>
    <d v="2015-03-01T00:00:00"/>
    <x v="2"/>
    <s v="Female"/>
    <s v="user25@example.com"/>
    <x v="4"/>
    <n v="2015"/>
    <d v="2026-01-01T00:00:00"/>
    <d v="2026-01-01T09:01:11"/>
    <n v="1"/>
    <n v="1"/>
    <x v="75"/>
    <n v="97881"/>
    <n v="97881"/>
  </r>
  <r>
    <s v="EMP1036"/>
    <s v="Alice Brown"/>
    <x v="1"/>
    <x v="1"/>
    <n v="89781"/>
    <d v="2015-09-13T00:00:00"/>
    <x v="2"/>
    <s v="Female"/>
    <s v="user31@example.com"/>
    <x v="4"/>
    <n v="2015"/>
    <d v="2026-01-01T00:00:00"/>
    <d v="2026-01-01T09:01:11"/>
    <n v="1"/>
    <n v="1"/>
    <x v="76"/>
    <n v="89781"/>
    <n v="89781"/>
  </r>
  <r>
    <s v="EMP1041"/>
    <s v="Alice Brown"/>
    <x v="1"/>
    <x v="0"/>
    <n v="33956"/>
    <d v="2015-10-18T00:00:00"/>
    <x v="2"/>
    <s v="Female"/>
    <s v="user47@example.com"/>
    <x v="4"/>
    <n v="2015"/>
    <d v="2026-01-01T00:00:00"/>
    <d v="2026-01-01T09:01:11"/>
    <n v="1"/>
    <n v="1"/>
    <x v="77"/>
    <n v="33956"/>
    <n v="33956"/>
  </r>
  <r>
    <s v="EMP1129"/>
    <s v="Bob Johnson"/>
    <x v="2"/>
    <x v="5"/>
    <n v="62994"/>
    <d v="2017-06-25T00:00:00"/>
    <x v="2"/>
    <s v="Male"/>
    <s v="user175@example.com"/>
    <x v="5"/>
    <n v="2017"/>
    <d v="2026-01-01T00:00:00"/>
    <d v="2026-01-01T09:01:11"/>
    <n v="1"/>
    <n v="1"/>
    <x v="78"/>
    <n v="62994"/>
    <n v="62994"/>
  </r>
  <r>
    <s v="EMP1074"/>
    <s v="Sam Wilson"/>
    <x v="2"/>
    <x v="0"/>
    <n v="41243"/>
    <d v="2016-06-05T00:00:00"/>
    <x v="2"/>
    <s v="Male"/>
    <s v="user143@example.com"/>
    <x v="5"/>
    <n v="2016"/>
    <d v="2026-01-01T00:00:00"/>
    <d v="2026-01-01T09:01:11"/>
    <n v="1"/>
    <n v="1"/>
    <x v="79"/>
    <n v="41243"/>
    <n v="41243"/>
  </r>
  <r>
    <s v="EMP1016"/>
    <s v="Bob Johnson"/>
    <x v="2"/>
    <x v="0"/>
    <n v="90271"/>
    <d v="2015-04-26T00:00:00"/>
    <x v="2"/>
    <s v="Male"/>
    <s v="user64@example.com"/>
    <x v="5"/>
    <n v="2015"/>
    <d v="2026-01-01T00:00:00"/>
    <d v="2026-01-01T09:01:11"/>
    <n v="1"/>
    <n v="1"/>
    <x v="80"/>
    <n v="90271"/>
    <n v="90271"/>
  </r>
  <r>
    <s v="EMP1033"/>
    <s v="Chris Lee"/>
    <x v="2"/>
    <x v="1"/>
    <n v="95367"/>
    <d v="2015-08-23T00:00:00"/>
    <x v="2"/>
    <s v="Male"/>
    <s v="user136@example.com"/>
    <x v="5"/>
    <n v="2015"/>
    <d v="2026-01-01T00:00:00"/>
    <d v="2026-01-01T09:01:11"/>
    <n v="1"/>
    <n v="1"/>
    <x v="81"/>
    <n v="95367"/>
    <n v="95367"/>
  </r>
  <r>
    <s v="EMP1119"/>
    <s v="Eve Adams"/>
    <x v="4"/>
    <x v="2"/>
    <n v="44358"/>
    <d v="2017-04-16T00:00:00"/>
    <x v="2"/>
    <s v="Female"/>
    <s v="user200@example.com"/>
    <x v="6"/>
    <n v="2017"/>
    <d v="2026-01-01T00:00:00"/>
    <d v="2026-01-01T09:01:11"/>
    <n v="1"/>
    <n v="1"/>
    <x v="82"/>
    <n v="44358"/>
    <n v="44358"/>
  </r>
  <r>
    <s v="EMP1143"/>
    <s v="Chris Lee"/>
    <x v="4"/>
    <x v="5"/>
    <n v="91620"/>
    <d v="2017-10-01T00:00:00"/>
    <x v="2"/>
    <s v="Female"/>
    <s v="user114@example.com"/>
    <x v="6"/>
    <n v="2017"/>
    <d v="2026-01-01T00:00:00"/>
    <d v="2026-01-01T09:01:11"/>
    <n v="1"/>
    <n v="1"/>
    <x v="83"/>
    <n v="91620"/>
    <n v="91620"/>
  </r>
  <r>
    <s v="EMP1083"/>
    <s v="Sam Wilson"/>
    <x v="4"/>
    <x v="4"/>
    <n v="99621"/>
    <d v="2016-08-07T00:00:00"/>
    <x v="2"/>
    <s v="Other"/>
    <s v="user145@example.com"/>
    <x v="6"/>
    <n v="2016"/>
    <d v="2026-01-01T00:00:00"/>
    <d v="2026-01-01T09:01:11"/>
    <n v="1"/>
    <n v="1"/>
    <x v="84"/>
    <n v="99621"/>
    <n v="99621"/>
  </r>
  <r>
    <s v="EMP1006"/>
    <s v="Sam Wilson"/>
    <x v="4"/>
    <x v="3"/>
    <n v="67721"/>
    <d v="2015-02-15T00:00:00"/>
    <x v="2"/>
    <s v="Male"/>
    <s v="user168@example.com"/>
    <x v="6"/>
    <n v="2015"/>
    <d v="2026-01-01T00:00:00"/>
    <d v="2026-01-01T09:01:11"/>
    <n v="1"/>
    <n v="1"/>
    <x v="85"/>
    <n v="67721"/>
    <n v="67721"/>
  </r>
  <r>
    <s v="EMP1137"/>
    <s v="Chris Lee"/>
    <x v="5"/>
    <x v="0"/>
    <n v="84968"/>
    <d v="2017-08-20T00:00:00"/>
    <x v="2"/>
    <s v="Male"/>
    <s v="user165@example.com"/>
    <x v="7"/>
    <n v="2017"/>
    <d v="2026-01-01T00:00:00"/>
    <d v="2026-01-01T09:01:11"/>
    <n v="1"/>
    <n v="1"/>
    <x v="86"/>
    <n v="84968"/>
    <n v="84968"/>
  </r>
  <r>
    <s v="EMP1102"/>
    <s v="Alice Brown"/>
    <x v="5"/>
    <x v="0"/>
    <n v="42096"/>
    <d v="2016-12-18T00:00:00"/>
    <x v="2"/>
    <s v="Female"/>
    <s v="user54@example.com"/>
    <x v="7"/>
    <n v="2016"/>
    <d v="2026-01-01T00:00:00"/>
    <d v="2026-01-01T09:01:11"/>
    <n v="1"/>
    <n v="1"/>
    <x v="87"/>
    <n v="42096"/>
    <n v="42096"/>
  </r>
  <r>
    <s v="EMP1009"/>
    <s v="Chris Lee"/>
    <x v="5"/>
    <x v="5"/>
    <n v="91846"/>
    <d v="2015-03-08T00:00:00"/>
    <x v="2"/>
    <s v="Male"/>
    <s v="user153@example.com"/>
    <x v="7"/>
    <n v="2015"/>
    <d v="2026-01-01T00:00:00"/>
    <d v="2026-01-01T09:01:11"/>
    <n v="1"/>
    <n v="1"/>
    <x v="88"/>
    <n v="91846"/>
    <n v="91846"/>
  </r>
  <r>
    <s v="EMP1037"/>
    <s v="Alice Brown"/>
    <x v="5"/>
    <x v="3"/>
    <n v="64796"/>
    <d v="2015-09-20T00:00:00"/>
    <x v="2"/>
    <s v="Other"/>
    <s v="user98@example.com"/>
    <x v="7"/>
    <n v="2015"/>
    <d v="2026-01-01T00:00:00"/>
    <d v="2026-01-01T09:01:11"/>
    <n v="1"/>
    <n v="1"/>
    <x v="89"/>
    <n v="64796"/>
    <n v="64796"/>
  </r>
  <r>
    <s v="EMP1112"/>
    <s v="Eve Adams"/>
    <x v="3"/>
    <x v="4"/>
    <n v="78330"/>
    <d v="2017-02-26T00:00:00"/>
    <x v="2"/>
    <s v="Other"/>
    <s v="user76@example.com"/>
    <x v="8"/>
    <n v="2017"/>
    <d v="2026-01-01T00:00:00"/>
    <d v="2026-01-01T09:01:11"/>
    <n v="1"/>
    <n v="1"/>
    <x v="90"/>
    <n v="78330"/>
    <n v="78330"/>
  </r>
  <r>
    <s v="EMP1095"/>
    <s v="Alice Brown"/>
    <x v="3"/>
    <x v="2"/>
    <n v="96101"/>
    <d v="2016-10-30T00:00:00"/>
    <x v="2"/>
    <s v="Other"/>
    <s v="user155@example.com"/>
    <x v="8"/>
    <n v="2016"/>
    <d v="2026-01-01T00:00:00"/>
    <d v="2026-01-01T09:01:11"/>
    <n v="1"/>
    <n v="1"/>
    <x v="91"/>
    <n v="96101"/>
    <n v="96101"/>
  </r>
  <r>
    <s v="EMP1018"/>
    <s v="Alice Brown"/>
    <x v="3"/>
    <x v="5"/>
    <n v="73602"/>
    <d v="2015-05-10T00:00:00"/>
    <x v="2"/>
    <s v="Female"/>
    <s v="user96@example.com"/>
    <x v="8"/>
    <n v="2015"/>
    <d v="2026-01-01T00:00:00"/>
    <d v="2026-01-01T09:01:11"/>
    <n v="1"/>
    <n v="1"/>
    <x v="92"/>
    <n v="73602"/>
    <n v="73602"/>
  </r>
  <r>
    <s v="EMP1000"/>
    <s v="Unknown"/>
    <x v="3"/>
    <x v="3"/>
    <s v="Unknown"/>
    <s v="Unknown"/>
    <x v="4"/>
    <s v="Unknown"/>
    <s v="invalid_email"/>
    <x v="9"/>
    <s v="Unknown"/>
    <d v="2026-01-01T00:00:00"/>
    <d v="2026-01-01T09:01:11"/>
    <n v="1"/>
    <n v="1"/>
    <x v="0"/>
    <s v="Unknown"/>
    <s v="Unknown"/>
  </r>
  <r>
    <s v="EMP1050"/>
    <s v="Chris Lee"/>
    <x v="2"/>
    <x v="3"/>
    <n v="30686"/>
    <s v="Unknown"/>
    <x v="4"/>
    <s v="Female"/>
    <s v="user95@example.com"/>
    <x v="9"/>
    <s v="Unknown"/>
    <d v="2026-01-01T00:00:00"/>
    <d v="2026-01-01T09:01:11"/>
    <n v="1"/>
    <n v="1"/>
    <x v="0"/>
    <n v="30686"/>
    <n v="30686"/>
  </r>
  <r>
    <s v="EMP1110"/>
    <s v="Chris Lee"/>
    <x v="4"/>
    <x v="4"/>
    <n v="31293"/>
    <s v="Unknown"/>
    <x v="4"/>
    <s v="Female"/>
    <s v="user44@example.com"/>
    <x v="9"/>
    <s v="Unknown"/>
    <d v="2026-01-01T00:00:00"/>
    <d v="2026-01-01T09:01:11"/>
    <n v="1"/>
    <n v="1"/>
    <x v="0"/>
    <n v="31293"/>
    <n v="31293"/>
  </r>
  <r>
    <s v="EMP1107"/>
    <s v="Sam Wilson"/>
    <x v="0"/>
    <x v="2"/>
    <n v="86412"/>
    <d v="2017-01-22T00:00:00"/>
    <x v="4"/>
    <s v="Female"/>
    <s v="user128@example.com"/>
    <x v="9"/>
    <n v="2017"/>
    <d v="2026-01-01T00:00:00"/>
    <d v="2026-01-01T09:01:11"/>
    <n v="1"/>
    <n v="1"/>
    <x v="93"/>
    <n v="86412"/>
    <n v="86412"/>
  </r>
  <r>
    <s v="EMP1121"/>
    <s v="Chris Lee"/>
    <x v="4"/>
    <x v="1"/>
    <n v="45676"/>
    <d v="2017-04-30T00:00:00"/>
    <x v="4"/>
    <s v="Male"/>
    <s v="user132@example.com"/>
    <x v="9"/>
    <n v="2017"/>
    <d v="2026-01-01T00:00:00"/>
    <d v="2026-01-01T09:01:11"/>
    <n v="1"/>
    <n v="1"/>
    <x v="94"/>
    <n v="45676"/>
    <n v="45676"/>
  </r>
  <r>
    <s v="EMP1127"/>
    <s v="John Doe"/>
    <x v="3"/>
    <x v="1"/>
    <n v="91953"/>
    <d v="2017-06-11T00:00:00"/>
    <x v="4"/>
    <s v="Male"/>
    <s v="user83@example.com"/>
    <x v="9"/>
    <n v="2017"/>
    <d v="2026-01-01T00:00:00"/>
    <d v="2026-01-01T09:01:11"/>
    <n v="1"/>
    <n v="1"/>
    <x v="95"/>
    <n v="91953"/>
    <n v="91953"/>
  </r>
  <r>
    <s v="EMP1139"/>
    <s v="Bob Johnson"/>
    <x v="1"/>
    <x v="3"/>
    <n v="73348"/>
    <d v="2017-09-03T00:00:00"/>
    <x v="4"/>
    <s v="Male"/>
    <s v="user22@example.com"/>
    <x v="9"/>
    <n v="2017"/>
    <d v="2026-01-01T00:00:00"/>
    <d v="2026-01-01T09:01:11"/>
    <n v="1"/>
    <n v="1"/>
    <x v="96"/>
    <n v="73348"/>
    <n v="73348"/>
  </r>
  <r>
    <s v="EMP1144"/>
    <s v="Eve Adams"/>
    <x v="2"/>
    <x v="3"/>
    <n v="94148"/>
    <d v="2017-10-08T00:00:00"/>
    <x v="4"/>
    <s v="Female"/>
    <s v="user53@example.com"/>
    <x v="9"/>
    <n v="2017"/>
    <d v="2026-01-01T00:00:00"/>
    <d v="2026-01-01T09:01:11"/>
    <n v="1"/>
    <n v="1"/>
    <x v="97"/>
    <n v="94148"/>
    <n v="94148"/>
  </r>
  <r>
    <s v="EMP1146"/>
    <s v="John Doe"/>
    <x v="0"/>
    <x v="1"/>
    <n v="57141"/>
    <d v="2017-10-22T00:00:00"/>
    <x v="4"/>
    <s v="Male"/>
    <s v="user165@example.com"/>
    <x v="9"/>
    <n v="2017"/>
    <d v="2026-01-01T00:00:00"/>
    <d v="2026-01-01T09:01:11"/>
    <n v="1"/>
    <n v="1"/>
    <x v="98"/>
    <n v="57141"/>
    <n v="57141"/>
  </r>
  <r>
    <s v="EMP1061"/>
    <s v="Eve Adams"/>
    <x v="2"/>
    <x v="2"/>
    <n v="31499"/>
    <d v="2016-03-06T00:00:00"/>
    <x v="4"/>
    <s v="Female"/>
    <s v="user31@example.com"/>
    <x v="9"/>
    <n v="2016"/>
    <d v="2026-01-01T00:00:00"/>
    <d v="2026-01-01T09:01:11"/>
    <n v="1"/>
    <n v="1"/>
    <x v="99"/>
    <n v="31499"/>
    <n v="31499"/>
  </r>
  <r>
    <s v="EMP1063"/>
    <s v="Eve Adams"/>
    <x v="5"/>
    <x v="1"/>
    <n v="36541"/>
    <d v="2016-03-20T00:00:00"/>
    <x v="4"/>
    <s v="Other"/>
    <s v="user97@example.com"/>
    <x v="9"/>
    <n v="2016"/>
    <d v="2026-01-01T00:00:00"/>
    <d v="2026-01-01T09:01:11"/>
    <n v="1"/>
    <n v="1"/>
    <x v="100"/>
    <n v="36541"/>
    <n v="36541"/>
  </r>
  <r>
    <s v="EMP1068"/>
    <s v="Sam Wilson"/>
    <x v="3"/>
    <x v="5"/>
    <n v="41467"/>
    <d v="2016-04-24T00:00:00"/>
    <x v="4"/>
    <s v="Male"/>
    <s v="user77@example.com"/>
    <x v="9"/>
    <n v="2016"/>
    <d v="2026-01-01T00:00:00"/>
    <d v="2026-01-01T09:01:11"/>
    <n v="1"/>
    <n v="1"/>
    <x v="101"/>
    <n v="41467"/>
    <n v="41467"/>
  </r>
  <r>
    <s v="EMP1078"/>
    <s v="Sam Wilson"/>
    <x v="2"/>
    <x v="5"/>
    <n v="78245"/>
    <d v="2016-07-03T00:00:00"/>
    <x v="4"/>
    <s v="Male"/>
    <s v="user46@example.com"/>
    <x v="9"/>
    <n v="2016"/>
    <d v="2026-01-01T00:00:00"/>
    <d v="2026-01-01T09:01:11"/>
    <n v="1"/>
    <n v="1"/>
    <x v="102"/>
    <n v="78245"/>
    <n v="78245"/>
  </r>
  <r>
    <s v="EMP1079"/>
    <s v="Chris Lee"/>
    <x v="4"/>
    <x v="1"/>
    <n v="66079"/>
    <d v="2016-07-10T00:00:00"/>
    <x v="4"/>
    <s v="Other"/>
    <s v="user55@example.com"/>
    <x v="9"/>
    <n v="2016"/>
    <d v="2026-01-01T00:00:00"/>
    <d v="2026-01-01T09:01:11"/>
    <n v="1"/>
    <n v="1"/>
    <x v="103"/>
    <n v="66079"/>
    <n v="66079"/>
  </r>
  <r>
    <s v="EMP1100"/>
    <s v="Bob Johnson"/>
    <x v="0"/>
    <x v="3"/>
    <s v="Unknown"/>
    <d v="2016-12-04T00:00:00"/>
    <x v="4"/>
    <s v="Other"/>
    <s v="user40@example.com"/>
    <x v="9"/>
    <n v="2016"/>
    <d v="2026-01-01T00:00:00"/>
    <d v="2026-01-01T09:01:11"/>
    <n v="1"/>
    <n v="1"/>
    <x v="104"/>
    <s v="Unknown"/>
    <s v="Unknown"/>
  </r>
  <r>
    <s v="EMP1002"/>
    <s v="Alice Brown"/>
    <x v="3"/>
    <x v="0"/>
    <n v="63184"/>
    <d v="2015-01-18T00:00:00"/>
    <x v="4"/>
    <s v="Female"/>
    <s v="user176@example.com"/>
    <x v="9"/>
    <n v="2015"/>
    <d v="2026-01-01T00:00:00"/>
    <d v="2026-01-01T09:01:11"/>
    <n v="1"/>
    <n v="1"/>
    <x v="105"/>
    <n v="63184"/>
    <n v="63184"/>
  </r>
  <r>
    <s v="EMP1005"/>
    <s v="Alice Brown"/>
    <x v="1"/>
    <x v="4"/>
    <n v="78421"/>
    <d v="2015-02-08T00:00:00"/>
    <x v="4"/>
    <s v="Female"/>
    <s v="user24@example.com"/>
    <x v="9"/>
    <n v="2015"/>
    <d v="2026-01-01T00:00:00"/>
    <d v="2026-01-01T09:01:11"/>
    <n v="1"/>
    <n v="1"/>
    <x v="106"/>
    <n v="78421"/>
    <n v="78421"/>
  </r>
  <r>
    <s v="EMP1007"/>
    <s v="Chris Lee"/>
    <x v="0"/>
    <x v="3"/>
    <n v="35364"/>
    <d v="2015-02-22T00:00:00"/>
    <x v="4"/>
    <s v="Other"/>
    <s v="user26@example.com"/>
    <x v="9"/>
    <n v="2015"/>
    <d v="2026-01-01T00:00:00"/>
    <d v="2026-01-01T09:01:11"/>
    <n v="1"/>
    <n v="1"/>
    <x v="107"/>
    <n v="35364"/>
    <n v="35364"/>
  </r>
  <r>
    <s v="EMP1014"/>
    <s v="Jane Smith"/>
    <x v="5"/>
    <x v="3"/>
    <n v="59894"/>
    <d v="2015-04-12T00:00:00"/>
    <x v="4"/>
    <s v="Male"/>
    <s v="user184@example.com"/>
    <x v="9"/>
    <n v="2015"/>
    <d v="2026-01-01T00:00:00"/>
    <d v="2026-01-01T09:01:11"/>
    <n v="1"/>
    <n v="1"/>
    <x v="108"/>
    <n v="59894"/>
    <n v="59894"/>
  </r>
  <r>
    <s v="EMP1020"/>
    <s v="Jane Smith"/>
    <x v="5"/>
    <x v="1"/>
    <s v="Unknown"/>
    <d v="2015-05-24T00:00:00"/>
    <x v="4"/>
    <s v="Other"/>
    <s v="user200@example.com"/>
    <x v="9"/>
    <n v="2015"/>
    <d v="2026-01-01T00:00:00"/>
    <d v="2026-01-01T09:01:11"/>
    <n v="1"/>
    <n v="1"/>
    <x v="109"/>
    <s v="Unknown"/>
    <s v="Unknown"/>
  </r>
  <r>
    <s v="EMP1026"/>
    <s v="Eve Adams"/>
    <x v="4"/>
    <x v="0"/>
    <n v="76518"/>
    <d v="2015-07-05T00:00:00"/>
    <x v="4"/>
    <s v="Female"/>
    <s v="user68@example.com"/>
    <x v="9"/>
    <n v="2015"/>
    <d v="2026-01-01T00:00:00"/>
    <d v="2026-01-01T09:01:11"/>
    <n v="1"/>
    <n v="1"/>
    <x v="110"/>
    <n v="76518"/>
    <n v="76518"/>
  </r>
  <r>
    <s v="EMP1028"/>
    <s v="John Doe"/>
    <x v="5"/>
    <x v="5"/>
    <n v="49282"/>
    <d v="2015-07-19T00:00:00"/>
    <x v="4"/>
    <s v="Female"/>
    <s v="user135@example.com"/>
    <x v="9"/>
    <n v="2015"/>
    <d v="2026-01-01T00:00:00"/>
    <d v="2026-01-01T09:01:11"/>
    <n v="1"/>
    <n v="1"/>
    <x v="111"/>
    <n v="49282"/>
    <n v="49282"/>
  </r>
  <r>
    <s v="EMP1048"/>
    <s v="John Doe"/>
    <x v="3"/>
    <x v="3"/>
    <n v="66513"/>
    <d v="2015-12-06T00:00:00"/>
    <x v="4"/>
    <s v="Other"/>
    <s v="user24@example.com"/>
    <x v="9"/>
    <n v="2015"/>
    <d v="2026-01-01T00:00:00"/>
    <d v="2026-01-01T09:01:11"/>
    <n v="1"/>
    <n v="1"/>
    <x v="112"/>
    <n v="66513"/>
    <n v="66513"/>
  </r>
  <r>
    <s v="EMP1030"/>
    <s v="Unknown"/>
    <x v="0"/>
    <x v="3"/>
    <n v="92259"/>
    <s v="Unknown"/>
    <x v="5"/>
    <s v="Unknown"/>
    <s v="user109@example.com"/>
    <x v="10"/>
    <s v="Unknown"/>
    <d v="2026-01-01T00:00:00"/>
    <d v="2026-01-01T09:01:11"/>
    <n v="1"/>
    <n v="1"/>
    <x v="0"/>
    <n v="92259"/>
    <n v="92259"/>
  </r>
  <r>
    <s v="EMP1104"/>
    <s v="Jane Smith"/>
    <x v="2"/>
    <x v="2"/>
    <n v="61556"/>
    <d v="2017-01-01T00:00:00"/>
    <x v="5"/>
    <s v="Male"/>
    <s v="user40@example.com"/>
    <x v="10"/>
    <n v="2017"/>
    <d v="2026-01-01T00:00:00"/>
    <d v="2026-01-01T09:01:11"/>
    <n v="1"/>
    <n v="1"/>
    <x v="113"/>
    <n v="61556"/>
    <n v="61556"/>
  </r>
  <r>
    <s v="EMP1108"/>
    <s v="Sam Wilson"/>
    <x v="5"/>
    <x v="3"/>
    <n v="66761"/>
    <d v="2017-01-29T00:00:00"/>
    <x v="5"/>
    <s v="Male"/>
    <s v="user93@example.com"/>
    <x v="10"/>
    <n v="2017"/>
    <d v="2026-01-01T00:00:00"/>
    <d v="2026-01-01T09:01:11"/>
    <n v="1"/>
    <n v="1"/>
    <x v="114"/>
    <n v="66761"/>
    <n v="66761"/>
  </r>
  <r>
    <s v="EMP1109"/>
    <s v="Jane Smith"/>
    <x v="2"/>
    <x v="4"/>
    <n v="88850"/>
    <d v="2017-02-05T00:00:00"/>
    <x v="5"/>
    <s v="Female"/>
    <s v="user174@example.com"/>
    <x v="10"/>
    <n v="2017"/>
    <d v="2026-01-01T00:00:00"/>
    <d v="2026-01-01T09:01:11"/>
    <n v="1"/>
    <n v="1"/>
    <x v="115"/>
    <n v="88850"/>
    <n v="88850"/>
  </r>
  <r>
    <s v="EMP1113"/>
    <s v="Alice Brown"/>
    <x v="1"/>
    <x v="1"/>
    <n v="47653"/>
    <d v="2017-03-05T00:00:00"/>
    <x v="5"/>
    <s v="Male"/>
    <s v="user82@example.com"/>
    <x v="10"/>
    <n v="2017"/>
    <d v="2026-01-01T00:00:00"/>
    <d v="2026-01-01T09:01:11"/>
    <n v="1"/>
    <n v="1"/>
    <x v="116"/>
    <n v="47653"/>
    <n v="47653"/>
  </r>
  <r>
    <s v="EMP1117"/>
    <s v="Bob Johnson"/>
    <x v="0"/>
    <x v="3"/>
    <n v="73483"/>
    <d v="2017-04-02T00:00:00"/>
    <x v="5"/>
    <s v="Male"/>
    <s v="user137@example.com"/>
    <x v="10"/>
    <n v="2017"/>
    <d v="2026-01-01T00:00:00"/>
    <d v="2026-01-01T09:01:11"/>
    <n v="1"/>
    <n v="1"/>
    <x v="117"/>
    <n v="73483"/>
    <n v="73483"/>
  </r>
  <r>
    <s v="EMP1124"/>
    <s v="John Doe"/>
    <x v="1"/>
    <x v="3"/>
    <n v="60034"/>
    <d v="2017-05-21T00:00:00"/>
    <x v="5"/>
    <s v="Female"/>
    <s v="user75@example.com"/>
    <x v="10"/>
    <n v="2017"/>
    <d v="2026-01-01T00:00:00"/>
    <d v="2026-01-01T09:01:11"/>
    <n v="1"/>
    <n v="1"/>
    <x v="118"/>
    <n v="60034"/>
    <n v="60034"/>
  </r>
  <r>
    <s v="EMP1128"/>
    <s v="Chris Lee"/>
    <x v="4"/>
    <x v="1"/>
    <n v="30402"/>
    <d v="2017-06-18T00:00:00"/>
    <x v="5"/>
    <s v="Male"/>
    <s v="user167@example.com"/>
    <x v="10"/>
    <n v="2017"/>
    <d v="2026-01-01T00:00:00"/>
    <d v="2026-01-01T09:01:11"/>
    <n v="1"/>
    <n v="1"/>
    <x v="119"/>
    <n v="30402"/>
    <n v="30402"/>
  </r>
  <r>
    <s v="EMP1134"/>
    <s v="Eve Adams"/>
    <x v="0"/>
    <x v="4"/>
    <n v="62476"/>
    <d v="2017-07-30T00:00:00"/>
    <x v="5"/>
    <s v="Other"/>
    <s v="user63@example.com"/>
    <x v="10"/>
    <n v="2017"/>
    <d v="2026-01-01T00:00:00"/>
    <d v="2026-01-01T09:01:11"/>
    <n v="1"/>
    <n v="1"/>
    <x v="120"/>
    <n v="62476"/>
    <n v="62476"/>
  </r>
  <r>
    <s v="EMP1147"/>
    <s v="Bob Johnson"/>
    <x v="4"/>
    <x v="2"/>
    <n v="65270"/>
    <d v="2017-10-29T00:00:00"/>
    <x v="5"/>
    <s v="Male"/>
    <s v="user163@example.com"/>
    <x v="10"/>
    <n v="2017"/>
    <d v="2026-01-01T00:00:00"/>
    <d v="2026-01-01T09:01:11"/>
    <n v="1"/>
    <n v="1"/>
    <x v="121"/>
    <n v="65270"/>
    <n v="65270"/>
  </r>
  <r>
    <s v="EMP1148"/>
    <s v="Bob Johnson"/>
    <x v="2"/>
    <x v="5"/>
    <n v="67335"/>
    <d v="2017-11-05T00:00:00"/>
    <x v="5"/>
    <s v="Other"/>
    <s v="user112@example.com"/>
    <x v="10"/>
    <n v="2017"/>
    <d v="2026-01-01T00:00:00"/>
    <d v="2026-01-01T09:01:11"/>
    <n v="1"/>
    <n v="1"/>
    <x v="122"/>
    <n v="67335"/>
    <n v="67335"/>
  </r>
  <r>
    <s v="EMP1052"/>
    <s v="Eve Adams"/>
    <x v="0"/>
    <x v="3"/>
    <n v="30280"/>
    <d v="2016-01-03T00:00:00"/>
    <x v="5"/>
    <s v="Female"/>
    <s v="user152@example.com"/>
    <x v="10"/>
    <n v="2016"/>
    <d v="2026-01-01T00:00:00"/>
    <d v="2026-01-01T09:01:11"/>
    <n v="1"/>
    <n v="1"/>
    <x v="123"/>
    <n v="30280"/>
    <n v="30280"/>
  </r>
  <r>
    <s v="EMP1056"/>
    <s v="John Doe"/>
    <x v="4"/>
    <x v="2"/>
    <n v="60011"/>
    <d v="2016-01-31T00:00:00"/>
    <x v="5"/>
    <s v="Male"/>
    <s v="user63@example.com"/>
    <x v="10"/>
    <n v="2016"/>
    <d v="2026-01-01T00:00:00"/>
    <d v="2026-01-01T09:01:11"/>
    <n v="1"/>
    <n v="1"/>
    <x v="124"/>
    <n v="60011"/>
    <n v="60011"/>
  </r>
  <r>
    <s v="EMP1059"/>
    <s v="Sam Wilson"/>
    <x v="3"/>
    <x v="1"/>
    <n v="82033"/>
    <d v="2016-02-21T00:00:00"/>
    <x v="5"/>
    <s v="Male"/>
    <s v="user20@example.com"/>
    <x v="10"/>
    <n v="2016"/>
    <d v="2026-01-01T00:00:00"/>
    <d v="2026-01-01T09:01:11"/>
    <n v="1"/>
    <n v="1"/>
    <x v="125"/>
    <n v="82033"/>
    <n v="82033"/>
  </r>
  <r>
    <s v="EMP1064"/>
    <s v="John Doe"/>
    <x v="1"/>
    <x v="4"/>
    <n v="84737"/>
    <d v="2016-03-27T00:00:00"/>
    <x v="5"/>
    <s v="Male"/>
    <s v="user141@example.com"/>
    <x v="10"/>
    <n v="2016"/>
    <d v="2026-01-01T00:00:00"/>
    <d v="2026-01-01T09:01:11"/>
    <n v="1"/>
    <n v="1"/>
    <x v="126"/>
    <n v="84737"/>
    <n v="84737"/>
  </r>
  <r>
    <s v="EMP1069"/>
    <s v="Bob Johnson"/>
    <x v="3"/>
    <x v="4"/>
    <n v="77096"/>
    <d v="2016-05-01T00:00:00"/>
    <x v="5"/>
    <s v="Male"/>
    <s v="user65@example.com"/>
    <x v="10"/>
    <n v="2016"/>
    <d v="2026-01-01T00:00:00"/>
    <d v="2026-01-01T09:01:11"/>
    <n v="1"/>
    <n v="1"/>
    <x v="127"/>
    <n v="77096"/>
    <n v="77096"/>
  </r>
  <r>
    <s v="EMP1075"/>
    <s v="Unknown"/>
    <x v="4"/>
    <x v="3"/>
    <n v="96142"/>
    <d v="2016-06-12T00:00:00"/>
    <x v="5"/>
    <s v="Other"/>
    <s v="user17@example.com"/>
    <x v="10"/>
    <n v="2016"/>
    <d v="2026-01-01T00:00:00"/>
    <d v="2026-01-01T09:01:11"/>
    <n v="1"/>
    <n v="1"/>
    <x v="128"/>
    <n v="96142"/>
    <n v="96142"/>
  </r>
  <r>
    <s v="EMP1076"/>
    <s v="Eve Adams"/>
    <x v="1"/>
    <x v="4"/>
    <n v="94301"/>
    <d v="2016-06-19T00:00:00"/>
    <x v="5"/>
    <s v="Male"/>
    <s v="user20@example.com"/>
    <x v="10"/>
    <n v="2016"/>
    <d v="2026-01-01T00:00:00"/>
    <d v="2026-01-01T09:01:11"/>
    <n v="1"/>
    <n v="1"/>
    <x v="129"/>
    <n v="94301"/>
    <n v="94301"/>
  </r>
  <r>
    <s v="EMP1077"/>
    <s v="Jane Smith"/>
    <x v="2"/>
    <x v="5"/>
    <n v="69166"/>
    <d v="2016-06-26T00:00:00"/>
    <x v="5"/>
    <s v="Female"/>
    <s v="user22@example.com"/>
    <x v="10"/>
    <n v="2016"/>
    <d v="2026-01-01T00:00:00"/>
    <d v="2026-01-01T09:01:11"/>
    <n v="1"/>
    <n v="1"/>
    <x v="130"/>
    <n v="69166"/>
    <n v="69166"/>
  </r>
  <r>
    <s v="EMP1082"/>
    <s v="Eve Adams"/>
    <x v="1"/>
    <x v="5"/>
    <n v="42262"/>
    <d v="2016-07-31T00:00:00"/>
    <x v="5"/>
    <s v="Female"/>
    <s v="user104@example.com"/>
    <x v="10"/>
    <n v="2016"/>
    <d v="2026-01-01T00:00:00"/>
    <d v="2026-01-01T09:01:11"/>
    <n v="1"/>
    <n v="1"/>
    <x v="131"/>
    <n v="42262"/>
    <n v="42262"/>
  </r>
  <r>
    <s v="EMP1091"/>
    <s v="Alice Brown"/>
    <x v="5"/>
    <x v="2"/>
    <n v="69420"/>
    <d v="2016-10-02T00:00:00"/>
    <x v="5"/>
    <s v="Male"/>
    <s v="user43@example.com"/>
    <x v="10"/>
    <n v="2016"/>
    <d v="2026-01-01T00:00:00"/>
    <d v="2026-01-01T09:01:11"/>
    <n v="1"/>
    <n v="1"/>
    <x v="132"/>
    <n v="69420"/>
    <n v="69420"/>
  </r>
  <r>
    <s v="EMP1097"/>
    <s v="Sam Wilson"/>
    <x v="5"/>
    <x v="0"/>
    <n v="89333"/>
    <d v="2016-11-13T00:00:00"/>
    <x v="5"/>
    <s v="Male"/>
    <s v="user113@example.com"/>
    <x v="10"/>
    <n v="2016"/>
    <d v="2026-01-01T00:00:00"/>
    <d v="2026-01-01T09:01:11"/>
    <n v="1"/>
    <n v="0"/>
    <x v="133"/>
    <n v="89333"/>
    <n v="89333"/>
  </r>
  <r>
    <s v="EMP1001"/>
    <s v="Eve Adams"/>
    <x v="5"/>
    <x v="0"/>
    <n v="54255"/>
    <d v="2015-01-11T00:00:00"/>
    <x v="5"/>
    <s v="Other"/>
    <s v="user106@example.com"/>
    <x v="10"/>
    <n v="2015"/>
    <d v="2026-01-01T00:00:00"/>
    <d v="2026-01-01T09:01:11"/>
    <n v="1"/>
    <n v="0"/>
    <x v="134"/>
    <n v="54255"/>
    <n v="54255"/>
  </r>
  <r>
    <s v="EMP1003"/>
    <s v="John Doe"/>
    <x v="4"/>
    <x v="1"/>
    <n v="94406"/>
    <d v="2015-01-25T00:00:00"/>
    <x v="5"/>
    <s v="Male"/>
    <s v="user168@example.com"/>
    <x v="10"/>
    <n v="2015"/>
    <d v="2026-01-01T00:00:00"/>
    <d v="2026-01-01T09:01:11"/>
    <n v="1"/>
    <n v="0"/>
    <x v="135"/>
    <n v="94406"/>
    <n v="94406"/>
  </r>
  <r>
    <s v="EMP1004"/>
    <s v="Jane Smith"/>
    <x v="4"/>
    <x v="0"/>
    <n v="64120"/>
    <d v="2015-02-01T00:00:00"/>
    <x v="5"/>
    <s v="Male"/>
    <s v="user49@example.com"/>
    <x v="10"/>
    <n v="2015"/>
    <d v="2026-01-01T00:00:00"/>
    <d v="2026-01-01T09:01:11"/>
    <n v="1"/>
    <n v="0"/>
    <x v="136"/>
    <n v="64120"/>
    <n v="64120"/>
  </r>
  <r>
    <s v="EMP1010"/>
    <s v="Sam Wilson"/>
    <x v="3"/>
    <x v="5"/>
    <n v="64247"/>
    <d v="2015-03-15T00:00:00"/>
    <x v="5"/>
    <s v="Female"/>
    <s v="user18@example.com"/>
    <x v="10"/>
    <n v="2015"/>
    <d v="2026-01-01T00:00:00"/>
    <d v="2026-01-01T09:01:11"/>
    <n v="1"/>
    <n v="0"/>
    <x v="137"/>
    <n v="64247"/>
    <n v="64247"/>
  </r>
  <r>
    <s v="EMP1017"/>
    <s v="Jane Smith"/>
    <x v="3"/>
    <x v="2"/>
    <n v="41341"/>
    <d v="2015-05-03T00:00:00"/>
    <x v="5"/>
    <s v="Other"/>
    <s v="user38@example.com"/>
    <x v="10"/>
    <n v="2015"/>
    <d v="2026-01-01T00:00:00"/>
    <d v="2026-01-01T09:01:11"/>
    <n v="1"/>
    <n v="0"/>
    <x v="138"/>
    <n v="41341"/>
    <n v="41341"/>
  </r>
  <r>
    <s v="EMP1024"/>
    <s v="Sam Wilson"/>
    <x v="3"/>
    <x v="3"/>
    <n v="91005"/>
    <d v="2015-06-21T00:00:00"/>
    <x v="5"/>
    <s v="Other"/>
    <s v="user122@example.com"/>
    <x v="10"/>
    <n v="2015"/>
    <d v="2026-01-01T00:00:00"/>
    <d v="2026-01-01T09:01:11"/>
    <n v="1"/>
    <n v="0"/>
    <x v="139"/>
    <n v="91005"/>
    <n v="91005"/>
  </r>
  <r>
    <s v="EMP1042"/>
    <s v="Bob Johnson"/>
    <x v="2"/>
    <x v="2"/>
    <n v="64913"/>
    <d v="2015-10-25T00:00:00"/>
    <x v="5"/>
    <s v="Female"/>
    <s v="user175@example.com"/>
    <x v="10"/>
    <n v="2015"/>
    <d v="2026-01-01T00:00:00"/>
    <d v="2026-01-01T09:01:11"/>
    <n v="1"/>
    <n v="0"/>
    <x v="140"/>
    <n v="64913"/>
    <n v="64913"/>
  </r>
  <r>
    <s v="EMP1044"/>
    <s v="Chris Lee"/>
    <x v="3"/>
    <x v="3"/>
    <n v="81610"/>
    <d v="2015-11-08T00:00:00"/>
    <x v="5"/>
    <s v="Male"/>
    <s v="user20@example.com"/>
    <x v="10"/>
    <n v="2015"/>
    <d v="2026-01-01T00:00:00"/>
    <d v="2026-01-01T09:01:11"/>
    <n v="1"/>
    <n v="0"/>
    <x v="141"/>
    <n v="81610"/>
    <n v="81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49489-FD88-4B32-B220-B936A2F4B344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0" firstHeaderRow="0" firstDataRow="1" firstDataCol="1" rowPageCount="1" colPageCount="1"/>
  <pivotFields count="18">
    <pivotField dataField="1"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axis="axisPage" showAll="0">
      <items count="7">
        <item x="2"/>
        <item x="0"/>
        <item x="4"/>
        <item x="5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verage of Salary" fld="4" subtotal="average" baseField="2" baseItem="0"/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8C33-35F2-42A9-8C1D-472D18299D14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1" firstHeaderRow="1" firstDataRow="1" firstDataCol="1" rowPageCount="1" colPageCount="1"/>
  <pivotFields count="18">
    <pivotField dataField="1"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showAll="0"/>
    <pivotField showAll="0"/>
    <pivotField showAll="0">
      <items count="7">
        <item x="5"/>
        <item x="4"/>
        <item x="3"/>
        <item x="1"/>
        <item x="0"/>
        <item x="2"/>
        <item t="default"/>
      </items>
    </pivotField>
    <pivotField showAll="0"/>
    <pivotField showAll="0"/>
    <pivotField numFmtI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4" showAll="0"/>
    <pivotField numFmtId="22" showAll="0"/>
    <pivotField showAll="0"/>
    <pivotField showAll="0"/>
    <pivotField axis="axisPage" showAll="0">
      <items count="143">
        <item x="7"/>
        <item x="122"/>
        <item x="121"/>
        <item x="98"/>
        <item x="6"/>
        <item x="97"/>
        <item x="83"/>
        <item x="50"/>
        <item x="5"/>
        <item x="28"/>
        <item x="96"/>
        <item x="27"/>
        <item x="86"/>
        <item x="26"/>
        <item x="49"/>
        <item x="120"/>
        <item x="48"/>
        <item x="47"/>
        <item x="46"/>
        <item x="78"/>
        <item x="119"/>
        <item x="95"/>
        <item x="45"/>
        <item x="4"/>
        <item x="118"/>
        <item x="3"/>
        <item x="44"/>
        <item x="94"/>
        <item x="82"/>
        <item x="43"/>
        <item x="117"/>
        <item x="2"/>
        <item x="25"/>
        <item x="24"/>
        <item x="116"/>
        <item x="90"/>
        <item x="1"/>
        <item x="115"/>
        <item x="114"/>
        <item x="93"/>
        <item x="71"/>
        <item x="42"/>
        <item x="113"/>
        <item x="15"/>
        <item x="87"/>
        <item x="74"/>
        <item x="104"/>
        <item x="35"/>
        <item x="73"/>
        <item x="133"/>
        <item x="60"/>
        <item x="91"/>
        <item x="72"/>
        <item x="34"/>
        <item x="14"/>
        <item x="132"/>
        <item x="59"/>
        <item x="58"/>
        <item x="57"/>
        <item x="33"/>
        <item x="32"/>
        <item x="13"/>
        <item x="31"/>
        <item x="84"/>
        <item x="131"/>
        <item x="56"/>
        <item x="103"/>
        <item x="102"/>
        <item x="130"/>
        <item x="129"/>
        <item x="128"/>
        <item x="79"/>
        <item x="30"/>
        <item x="40"/>
        <item x="55"/>
        <item x="12"/>
        <item x="127"/>
        <item x="101"/>
        <item x="54"/>
        <item x="53"/>
        <item x="29"/>
        <item x="126"/>
        <item x="100"/>
        <item x="11"/>
        <item x="99"/>
        <item x="125"/>
        <item x="10"/>
        <item x="52"/>
        <item x="124"/>
        <item x="9"/>
        <item x="8"/>
        <item x="51"/>
        <item x="123"/>
        <item x="23"/>
        <item x="22"/>
        <item x="112"/>
        <item x="39"/>
        <item x="70"/>
        <item x="69"/>
        <item x="141"/>
        <item x="41"/>
        <item x="140"/>
        <item x="77"/>
        <item x="68"/>
        <item x="21"/>
        <item x="89"/>
        <item x="76"/>
        <item x="38"/>
        <item x="67"/>
        <item x="81"/>
        <item x="66"/>
        <item x="65"/>
        <item x="20"/>
        <item x="111"/>
        <item x="64"/>
        <item x="110"/>
        <item x="63"/>
        <item x="139"/>
        <item x="62"/>
        <item x="19"/>
        <item x="37"/>
        <item x="109"/>
        <item x="18"/>
        <item x="92"/>
        <item x="138"/>
        <item x="80"/>
        <item x="61"/>
        <item x="108"/>
        <item x="36"/>
        <item x="17"/>
        <item x="16"/>
        <item x="137"/>
        <item x="88"/>
        <item x="75"/>
        <item x="107"/>
        <item x="85"/>
        <item x="106"/>
        <item x="136"/>
        <item x="135"/>
        <item x="105"/>
        <item x="134"/>
        <item x="0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5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D7E53-5D30-44EC-AEF4-5B9DBE36E18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J12" firstHeaderRow="0" firstDataRow="1" firstDataCol="1"/>
  <pivotFields count="18">
    <pivotField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4" subtotal="average" baseField="2" baseItem="0"/>
    <dataField name="Average of Performance Cleaned" fld="9" subtotal="average" baseField="2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49C7A-C7E7-4687-A249-3CCCA030560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8">
    <pivotField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R151" totalsRowShown="0" headerRowDxfId="22" dataDxfId="20" headerRowBorderDxfId="21" tableBorderDxfId="19" totalsRowBorderDxfId="18">
  <autoFilter ref="A1:R151" xr:uid="{BD5B43B2-069D-4031-B0B4-4364F435B523}"/>
  <sortState xmlns:xlrd2="http://schemas.microsoft.com/office/spreadsheetml/2017/richdata2" ref="A2:K151">
    <sortCondition descending="1" ref="J3:J151"/>
  </sortState>
  <tableColumns count="18">
    <tableColumn id="1" xr3:uid="{57B1A4EB-F8A6-4B3E-B22B-277F38B35808}" name="Employee ID" dataDxfId="17"/>
    <tableColumn id="2" xr3:uid="{CFCC666D-86C0-42CA-AB18-FD487C863CB1}" name="Name" dataDxfId="16"/>
    <tableColumn id="3" xr3:uid="{B388FF61-5B4D-4810-8950-3CC3820B41BF}" name="Department" dataDxfId="15"/>
    <tableColumn id="4" xr3:uid="{7DCCC8C5-818C-4683-B791-75D65F8165E6}" name="Country" dataDxfId="14"/>
    <tableColumn id="5" xr3:uid="{C3AE5CAF-A6F6-434E-A43D-7F1D9732E0D5}" name="Salary" dataDxfId="13"/>
    <tableColumn id="6" xr3:uid="{D090BA7A-9A34-4F80-B5AC-C1E239CABE3E}" name="Date of Joining" dataDxfId="12"/>
    <tableColumn id="7" xr3:uid="{7B7F3226-C53B-4532-B6F5-F3A93F90BFF9}" name="Performance Rating" dataDxfId="11"/>
    <tableColumn id="8" xr3:uid="{63A7F7E2-4396-4FDD-AAD0-E6A6A8AFB13C}" name="Gender" dataDxfId="10"/>
    <tableColumn id="9" xr3:uid="{0334DEA3-E07D-40B3-AA11-5B59E06144C2}" name="Mail Id" dataDxfId="9"/>
    <tableColumn id="10" xr3:uid="{45EF3EFE-0E97-4C55-BCED-8CE5A55816DA}" name="Performance Cleaned" dataDxfId="8">
      <calculatedColumnFormula>IF(G2="",AVERAGEIF(Table2[Department],C2,Table2[Performance Rating]),G2)</calculatedColumnFormula>
    </tableColumn>
    <tableColumn id="11" xr3:uid="{3EACBCAB-04A6-4005-B216-737416E0BB32}" name="Joining Year" dataDxfId="7">
      <calculatedColumnFormula>YEAR(Table2[[#This Row],[Date of Joining]])</calculatedColumnFormula>
    </tableColumn>
    <tableColumn id="12" xr3:uid="{15418015-107B-4B66-9B84-05CE6722029A}" name="TODAY" dataDxfId="6">
      <calculatedColumnFormula>TODAY()</calculatedColumnFormula>
    </tableColumn>
    <tableColumn id="13" xr3:uid="{F90D44F1-A0C1-4803-96F6-733D8DE974DB}" name="NOW" dataDxfId="5">
      <calculatedColumnFormula>NOW()</calculatedColumnFormula>
    </tableColumn>
    <tableColumn id="14" xr3:uid="{7635BB01-8C13-4900-AC45-B4C089DB6C7A}" name="MONTH" dataDxfId="4">
      <calculatedColumnFormula>MONTH(M2)</calculatedColumnFormula>
    </tableColumn>
    <tableColumn id="15" xr3:uid="{91C539FA-8C95-48D1-B249-80A387AFFD3D}" name="DAY" dataDxfId="3">
      <calculatedColumnFormula>N11</calculatedColumnFormula>
    </tableColumn>
    <tableColumn id="16" xr3:uid="{20D3BA20-1030-4E64-9597-D3B3B6B5A467}" name="DURATION IN DAYS" dataDxfId="2">
      <calculatedColumnFormula>(Table2[[#This Row],[TODAY]]-Table2[[#This Row],[Date of Joining]])</calculatedColumnFormula>
    </tableColumn>
    <tableColumn id="18" xr3:uid="{59DD9276-D065-427C-8A61-CF95EAE0F28A}" name="VLOOK UP SALARY" dataDxfId="1">
      <calculatedColumnFormula>VLOOKUP(A2,Table2[[#All],[Employee ID]:[Salary]],5,FALSE)</calculatedColumnFormula>
    </tableColumn>
    <tableColumn id="17" xr3:uid="{AACB1D66-AFD1-479B-89DC-5177D0A9BE3B}" name="INDEX AND MATCH" dataDxfId="0">
      <calculatedColumnFormula>INDEX($E$2:$E$151, MATCH(A2, $A$2:$A$151, 0))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F8B809-7436-4770-9479-843886519589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938b621f-dc95-4862-a751-77e037921a0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FD9D9A-A6A4-4F08-AFCA-7CA7A3219E84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NUYn13Wux_Z1ty308q5-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55D9-CB61-4BD5-B2D0-69B9EF9CD5D8}">
  <dimension ref="A1:J21"/>
  <sheetViews>
    <sheetView tabSelected="1" workbookViewId="0">
      <selection activeCell="G18" sqref="G18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1.77734375" bestFit="1" customWidth="1"/>
    <col min="4" max="4" width="12.5546875" bestFit="1" customWidth="1"/>
    <col min="5" max="5" width="15.77734375" bestFit="1" customWidth="1"/>
    <col min="6" max="6" width="19.5546875" bestFit="1" customWidth="1"/>
    <col min="8" max="8" width="12.5546875" bestFit="1" customWidth="1"/>
    <col min="9" max="9" width="15.77734375" bestFit="1" customWidth="1"/>
    <col min="10" max="10" width="19.5546875" bestFit="1" customWidth="1"/>
  </cols>
  <sheetData>
    <row r="1" spans="1:10" x14ac:dyDescent="0.3">
      <c r="D1" s="27" t="s">
        <v>3</v>
      </c>
      <c r="E1" t="s">
        <v>317</v>
      </c>
    </row>
    <row r="3" spans="1:10" x14ac:dyDescent="0.3">
      <c r="A3" s="27" t="s">
        <v>291</v>
      </c>
      <c r="B3" t="s">
        <v>293</v>
      </c>
      <c r="D3" s="27" t="s">
        <v>291</v>
      </c>
      <c r="E3" t="s">
        <v>293</v>
      </c>
      <c r="F3" t="s">
        <v>316</v>
      </c>
    </row>
    <row r="4" spans="1:10" x14ac:dyDescent="0.3">
      <c r="A4" s="28" t="s">
        <v>165</v>
      </c>
      <c r="B4">
        <v>65604.55</v>
      </c>
      <c r="D4" s="28" t="s">
        <v>165</v>
      </c>
      <c r="E4" s="29">
        <v>65604.55</v>
      </c>
      <c r="F4" s="29">
        <v>22</v>
      </c>
    </row>
    <row r="5" spans="1:10" x14ac:dyDescent="0.3">
      <c r="A5" s="28" t="s">
        <v>166</v>
      </c>
      <c r="B5">
        <v>67834.565217391311</v>
      </c>
      <c r="D5" s="28" t="s">
        <v>166</v>
      </c>
      <c r="E5" s="29">
        <v>67834.565217391311</v>
      </c>
      <c r="F5" s="29">
        <v>24</v>
      </c>
      <c r="H5" s="27" t="s">
        <v>291</v>
      </c>
      <c r="I5" t="s">
        <v>293</v>
      </c>
      <c r="J5" t="s">
        <v>315</v>
      </c>
    </row>
    <row r="6" spans="1:10" x14ac:dyDescent="0.3">
      <c r="A6" s="28" t="s">
        <v>168</v>
      </c>
      <c r="B6">
        <v>66157.5</v>
      </c>
      <c r="D6" s="28" t="s">
        <v>168</v>
      </c>
      <c r="E6" s="29">
        <v>66157.5</v>
      </c>
      <c r="F6" s="29">
        <v>25</v>
      </c>
      <c r="H6" s="28" t="s">
        <v>165</v>
      </c>
      <c r="I6" s="29">
        <v>65604.55</v>
      </c>
      <c r="J6" s="17">
        <v>2.5789473684210531</v>
      </c>
    </row>
    <row r="7" spans="1:10" x14ac:dyDescent="0.3">
      <c r="A7" s="28" t="s">
        <v>169</v>
      </c>
      <c r="B7">
        <v>63686.692307692305</v>
      </c>
      <c r="D7" s="28" t="s">
        <v>169</v>
      </c>
      <c r="E7" s="29">
        <v>63686.692307692305</v>
      </c>
      <c r="F7" s="29">
        <v>29</v>
      </c>
      <c r="H7" s="28" t="s">
        <v>166</v>
      </c>
      <c r="I7" s="29">
        <v>67834.565217391311</v>
      </c>
      <c r="J7" s="17">
        <v>2.7000000000000006</v>
      </c>
    </row>
    <row r="8" spans="1:10" x14ac:dyDescent="0.3">
      <c r="A8" s="28" t="s">
        <v>167</v>
      </c>
      <c r="B8">
        <v>67929.08</v>
      </c>
      <c r="D8" s="28" t="s">
        <v>167</v>
      </c>
      <c r="E8" s="29">
        <v>67929.08</v>
      </c>
      <c r="F8" s="29">
        <v>26</v>
      </c>
      <c r="H8" s="28" t="s">
        <v>168</v>
      </c>
      <c r="I8" s="29">
        <v>66157.5</v>
      </c>
      <c r="J8" s="17">
        <v>2.9444444444444442</v>
      </c>
    </row>
    <row r="9" spans="1:10" x14ac:dyDescent="0.3">
      <c r="A9" s="28" t="s">
        <v>175</v>
      </c>
      <c r="B9">
        <v>66572.708333333328</v>
      </c>
      <c r="D9" s="28" t="s">
        <v>175</v>
      </c>
      <c r="E9" s="29">
        <v>66572.708333333328</v>
      </c>
      <c r="F9" s="29">
        <v>24</v>
      </c>
      <c r="H9" s="28" t="s">
        <v>169</v>
      </c>
      <c r="I9" s="29">
        <v>63686.692307692305</v>
      </c>
      <c r="J9" s="17">
        <v>3.384615384615385</v>
      </c>
    </row>
    <row r="10" spans="1:10" x14ac:dyDescent="0.3">
      <c r="A10" s="28" t="s">
        <v>292</v>
      </c>
      <c r="B10">
        <v>66280.929577464791</v>
      </c>
      <c r="D10" s="28" t="s">
        <v>292</v>
      </c>
      <c r="E10" s="29">
        <v>66280.929577464791</v>
      </c>
      <c r="F10" s="29">
        <v>150</v>
      </c>
      <c r="H10" s="28" t="s">
        <v>167</v>
      </c>
      <c r="I10" s="29">
        <v>67929.08</v>
      </c>
      <c r="J10" s="17">
        <v>2.7272727272727271</v>
      </c>
    </row>
    <row r="11" spans="1:10" x14ac:dyDescent="0.3">
      <c r="H11" s="28" t="s">
        <v>175</v>
      </c>
      <c r="I11" s="29">
        <v>66572.708333333328</v>
      </c>
      <c r="J11" s="17">
        <v>2.75</v>
      </c>
    </row>
    <row r="12" spans="1:10" x14ac:dyDescent="0.3">
      <c r="D12" s="27" t="s">
        <v>287</v>
      </c>
      <c r="E12" t="s">
        <v>317</v>
      </c>
      <c r="H12" s="28" t="s">
        <v>292</v>
      </c>
      <c r="I12" s="29">
        <v>66280.929577464791</v>
      </c>
      <c r="J12" s="17">
        <v>2.8680726018620764</v>
      </c>
    </row>
    <row r="14" spans="1:10" x14ac:dyDescent="0.3">
      <c r="D14" s="27" t="s">
        <v>291</v>
      </c>
      <c r="E14" t="s">
        <v>316</v>
      </c>
    </row>
    <row r="15" spans="1:10" x14ac:dyDescent="0.3">
      <c r="D15" s="28" t="s">
        <v>165</v>
      </c>
      <c r="E15" s="29">
        <v>22</v>
      </c>
    </row>
    <row r="16" spans="1:10" x14ac:dyDescent="0.3">
      <c r="D16" s="28" t="s">
        <v>166</v>
      </c>
      <c r="E16" s="29">
        <v>24</v>
      </c>
    </row>
    <row r="17" spans="4:5" x14ac:dyDescent="0.3">
      <c r="D17" s="28" t="s">
        <v>168</v>
      </c>
      <c r="E17" s="29">
        <v>25</v>
      </c>
    </row>
    <row r="18" spans="4:5" x14ac:dyDescent="0.3">
      <c r="D18" s="28" t="s">
        <v>169</v>
      </c>
      <c r="E18" s="29">
        <v>29</v>
      </c>
    </row>
    <row r="19" spans="4:5" x14ac:dyDescent="0.3">
      <c r="D19" s="28" t="s">
        <v>167</v>
      </c>
      <c r="E19" s="29">
        <v>26</v>
      </c>
    </row>
    <row r="20" spans="4:5" x14ac:dyDescent="0.3">
      <c r="D20" s="28" t="s">
        <v>175</v>
      </c>
      <c r="E20" s="29">
        <v>24</v>
      </c>
    </row>
    <row r="21" spans="4:5" x14ac:dyDescent="0.3">
      <c r="D21" s="28" t="s">
        <v>292</v>
      </c>
      <c r="E21" s="29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opLeftCell="J136" workbookViewId="0">
      <selection sqref="A1:R151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  <col min="17" max="17" width="25" bestFit="1" customWidth="1"/>
    <col min="18" max="18" width="24.88671875" bestFit="1" customWidth="1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294</v>
      </c>
      <c r="J1" s="6" t="s">
        <v>278</v>
      </c>
      <c r="K1" s="6" t="s">
        <v>279</v>
      </c>
      <c r="L1" s="6" t="s">
        <v>283</v>
      </c>
      <c r="M1" s="6" t="s">
        <v>284</v>
      </c>
      <c r="N1" s="6" t="s">
        <v>285</v>
      </c>
      <c r="O1" s="6" t="s">
        <v>286</v>
      </c>
      <c r="P1" s="6" t="s">
        <v>287</v>
      </c>
      <c r="Q1" s="6" t="s">
        <v>289</v>
      </c>
      <c r="R1" s="6" t="s">
        <v>290</v>
      </c>
    </row>
    <row r="2" spans="1:18" x14ac:dyDescent="0.3">
      <c r="A2" s="4" t="s">
        <v>68</v>
      </c>
      <c r="B2" s="16" t="s">
        <v>175</v>
      </c>
      <c r="C2" s="1" t="s">
        <v>169</v>
      </c>
      <c r="D2" s="1" t="s">
        <v>170</v>
      </c>
      <c r="E2" s="16" t="s">
        <v>175</v>
      </c>
      <c r="F2" s="16" t="s">
        <v>175</v>
      </c>
      <c r="G2" s="1">
        <v>5</v>
      </c>
      <c r="H2" s="16" t="s">
        <v>175</v>
      </c>
      <c r="I2" s="3" t="s">
        <v>230</v>
      </c>
      <c r="J2" s="12">
        <f>IF(G2="",AVERAGEIF(Table2[Department],C2,Table2[Performance Rating]),G2)</f>
        <v>5</v>
      </c>
      <c r="K2" s="26" t="s">
        <v>175</v>
      </c>
      <c r="L2" s="23">
        <f t="shared" ref="L2:L33" ca="1" si="0">TODAY()</f>
        <v>46023</v>
      </c>
      <c r="M2" s="24">
        <f ca="1">NOW()</f>
        <v>46023.558386689816</v>
      </c>
      <c r="N2" s="15">
        <f t="shared" ref="N2:N33" ca="1" si="1">MONTH(M2)</f>
        <v>1</v>
      </c>
      <c r="O2" s="15">
        <f t="shared" ref="O2:O33" ca="1" si="2">N11</f>
        <v>1</v>
      </c>
      <c r="P2" s="26" t="s">
        <v>288</v>
      </c>
      <c r="Q2" s="15" t="str">
        <f>VLOOKUP(A2,Table2[[#All],[Employee ID]:[Salary]],5,FALSE)</f>
        <v>Unknown</v>
      </c>
      <c r="R2" s="15" t="str">
        <f t="shared" ref="R2:R33" si="3">INDEX($E$2:$E$151, MATCH(A2, $A$2:$A$151, 0))</f>
        <v>Unknown</v>
      </c>
    </row>
    <row r="3" spans="1:18" x14ac:dyDescent="0.3">
      <c r="A3" s="4" t="s">
        <v>128</v>
      </c>
      <c r="B3" s="16" t="s">
        <v>175</v>
      </c>
      <c r="C3" s="1" t="s">
        <v>168</v>
      </c>
      <c r="D3" s="1" t="s">
        <v>171</v>
      </c>
      <c r="E3" s="16" t="s">
        <v>175</v>
      </c>
      <c r="F3" s="16" t="s">
        <v>175</v>
      </c>
      <c r="G3" s="1">
        <v>5</v>
      </c>
      <c r="H3" s="16" t="s">
        <v>175</v>
      </c>
      <c r="I3" s="3" t="s">
        <v>265</v>
      </c>
      <c r="J3" s="13">
        <f>IF(G3="",AVERAGEIF(Table2[Department],C3,Table2[Performance Rating]),G3)</f>
        <v>5</v>
      </c>
      <c r="K3" s="26" t="s">
        <v>175</v>
      </c>
      <c r="L3" s="23">
        <f t="shared" ca="1" si="0"/>
        <v>46023</v>
      </c>
      <c r="M3" s="24">
        <f t="shared" ref="M3:M33" ca="1" si="4">NOW()</f>
        <v>46023.558386689816</v>
      </c>
      <c r="N3" s="15">
        <f t="shared" ca="1" si="1"/>
        <v>1</v>
      </c>
      <c r="O3" s="15">
        <f t="shared" ca="1" si="2"/>
        <v>1</v>
      </c>
      <c r="P3" s="26" t="s">
        <v>288</v>
      </c>
      <c r="Q3" s="15" t="str">
        <f>VLOOKUP(A3,Table2[[#All],[Employee ID]:[Salary]],5,FALSE)</f>
        <v>Unknown</v>
      </c>
      <c r="R3" s="15" t="str">
        <f t="shared" si="3"/>
        <v>Unknown</v>
      </c>
    </row>
    <row r="4" spans="1:18" x14ac:dyDescent="0.3">
      <c r="A4" s="4" t="s">
        <v>119</v>
      </c>
      <c r="B4" s="22" t="s">
        <v>163</v>
      </c>
      <c r="C4" s="1" t="s">
        <v>168</v>
      </c>
      <c r="D4" s="1" t="s">
        <v>171</v>
      </c>
      <c r="E4" s="1">
        <v>34306</v>
      </c>
      <c r="F4" s="2">
        <v>42785</v>
      </c>
      <c r="G4" s="1">
        <v>5</v>
      </c>
      <c r="H4" s="1" t="s">
        <v>178</v>
      </c>
      <c r="I4" s="3" t="s">
        <v>236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46023</v>
      </c>
      <c r="M4" s="24">
        <f t="shared" ca="1" si="4"/>
        <v>46023.558386689816</v>
      </c>
      <c r="N4" s="15">
        <f t="shared" ca="1" si="1"/>
        <v>1</v>
      </c>
      <c r="O4" s="15">
        <f t="shared" ca="1" si="2"/>
        <v>1</v>
      </c>
      <c r="P4" s="15">
        <f ca="1">(Table2[[#This Row],[TODAY]]-Table2[[#This Row],[Date of Joining]])</f>
        <v>3238</v>
      </c>
      <c r="Q4" s="15">
        <f>VLOOKUP(A4,Table2[[#All],[Employee ID]:[Salary]],5,FALSE)</f>
        <v>34306</v>
      </c>
      <c r="R4" s="15">
        <f t="shared" si="3"/>
        <v>34306</v>
      </c>
    </row>
    <row r="5" spans="1:18" x14ac:dyDescent="0.3">
      <c r="A5" s="4" t="s">
        <v>124</v>
      </c>
      <c r="B5" s="22" t="s">
        <v>164</v>
      </c>
      <c r="C5" s="1" t="s">
        <v>169</v>
      </c>
      <c r="D5" s="1" t="s">
        <v>174</v>
      </c>
      <c r="E5" s="1">
        <v>38837</v>
      </c>
      <c r="F5" s="2">
        <v>42820</v>
      </c>
      <c r="G5" s="1">
        <v>5</v>
      </c>
      <c r="H5" s="1" t="s">
        <v>178</v>
      </c>
      <c r="I5" s="3" t="s">
        <v>236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46023</v>
      </c>
      <c r="M5" s="24">
        <f t="shared" ca="1" si="4"/>
        <v>46023.558386689816</v>
      </c>
      <c r="N5" s="15">
        <f t="shared" ca="1" si="1"/>
        <v>1</v>
      </c>
      <c r="O5" s="15">
        <f t="shared" ca="1" si="2"/>
        <v>1</v>
      </c>
      <c r="P5" s="15">
        <f ca="1">(Table2[[#This Row],[TODAY]]-Table2[[#This Row],[Date of Joining]])</f>
        <v>3203</v>
      </c>
      <c r="Q5" s="15">
        <f>VLOOKUP(A5,Table2[[#All],[Employee ID]:[Salary]],5,FALSE)</f>
        <v>38837</v>
      </c>
      <c r="R5" s="15">
        <f t="shared" si="3"/>
        <v>38837</v>
      </c>
    </row>
    <row r="6" spans="1:18" x14ac:dyDescent="0.3">
      <c r="A6" s="4" t="s">
        <v>131</v>
      </c>
      <c r="B6" s="22" t="s">
        <v>161</v>
      </c>
      <c r="C6" s="16" t="s">
        <v>175</v>
      </c>
      <c r="D6" s="1" t="s">
        <v>170</v>
      </c>
      <c r="E6" s="1">
        <v>30357</v>
      </c>
      <c r="F6" s="2">
        <v>42869</v>
      </c>
      <c r="G6" s="1">
        <v>5</v>
      </c>
      <c r="H6" s="1" t="s">
        <v>177</v>
      </c>
      <c r="I6" s="3" t="s">
        <v>245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46023</v>
      </c>
      <c r="M6" s="24">
        <f t="shared" ca="1" si="4"/>
        <v>46023.558386689816</v>
      </c>
      <c r="N6" s="25">
        <f t="shared" ca="1" si="1"/>
        <v>1</v>
      </c>
      <c r="O6" s="15">
        <f t="shared" ca="1" si="2"/>
        <v>1</v>
      </c>
      <c r="P6" s="15">
        <f ca="1">(Table2[[#This Row],[TODAY]]-Table2[[#This Row],[Date of Joining]])</f>
        <v>3154</v>
      </c>
      <c r="Q6" s="15">
        <f>VLOOKUP(A6,Table2[[#All],[Employee ID]:[Salary]],5,FALSE)</f>
        <v>30357</v>
      </c>
      <c r="R6" s="15">
        <f t="shared" si="3"/>
        <v>30357</v>
      </c>
    </row>
    <row r="7" spans="1:18" x14ac:dyDescent="0.3">
      <c r="A7" s="4" t="s">
        <v>133</v>
      </c>
      <c r="B7" s="22" t="s">
        <v>160</v>
      </c>
      <c r="C7" s="1" t="s">
        <v>165</v>
      </c>
      <c r="D7" s="16" t="s">
        <v>175</v>
      </c>
      <c r="E7" s="1">
        <v>90019</v>
      </c>
      <c r="F7" s="2">
        <v>42883</v>
      </c>
      <c r="G7" s="1">
        <v>5</v>
      </c>
      <c r="H7" s="1" t="s">
        <v>177</v>
      </c>
      <c r="I7" s="3" t="s">
        <v>269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46023</v>
      </c>
      <c r="M7" s="24">
        <f t="shared" ca="1" si="4"/>
        <v>46023.558386689816</v>
      </c>
      <c r="N7" s="25">
        <f t="shared" ca="1" si="1"/>
        <v>1</v>
      </c>
      <c r="O7" s="15">
        <f t="shared" ca="1" si="2"/>
        <v>1</v>
      </c>
      <c r="P7" s="15">
        <f ca="1">(Table2[[#This Row],[TODAY]]-Table2[[#This Row],[Date of Joining]])</f>
        <v>3140</v>
      </c>
      <c r="Q7" s="15">
        <f>VLOOKUP(A7,Table2[[#All],[Employee ID]:[Salary]],5,FALSE)</f>
        <v>90019</v>
      </c>
      <c r="R7" s="15">
        <f t="shared" si="3"/>
        <v>90019</v>
      </c>
    </row>
    <row r="8" spans="1:18" x14ac:dyDescent="0.3">
      <c r="A8" s="4" t="s">
        <v>149</v>
      </c>
      <c r="B8" s="22" t="s">
        <v>161</v>
      </c>
      <c r="C8" s="1" t="s">
        <v>169</v>
      </c>
      <c r="D8" s="1" t="s">
        <v>171</v>
      </c>
      <c r="E8" s="1">
        <v>66882</v>
      </c>
      <c r="F8" s="2">
        <v>42995</v>
      </c>
      <c r="G8" s="1">
        <v>5</v>
      </c>
      <c r="H8" s="1" t="s">
        <v>176</v>
      </c>
      <c r="I8" s="3" t="s">
        <v>204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46023</v>
      </c>
      <c r="M8" s="24">
        <f t="shared" ca="1" si="4"/>
        <v>46023.558386689816</v>
      </c>
      <c r="N8" s="15">
        <f t="shared" ca="1" si="1"/>
        <v>1</v>
      </c>
      <c r="O8" s="15">
        <f t="shared" ca="1" si="2"/>
        <v>1</v>
      </c>
      <c r="P8" s="15">
        <f ca="1">(Table2[[#This Row],[TODAY]]-Table2[[#This Row],[Date of Joining]])</f>
        <v>3028</v>
      </c>
      <c r="Q8" s="15">
        <f>VLOOKUP(A8,Table2[[#All],[Employee ID]:[Salary]],5,FALSE)</f>
        <v>66882</v>
      </c>
      <c r="R8" s="15">
        <f t="shared" si="3"/>
        <v>66882</v>
      </c>
    </row>
    <row r="9" spans="1:18" x14ac:dyDescent="0.3">
      <c r="A9" s="4" t="s">
        <v>153</v>
      </c>
      <c r="B9" s="1" t="s">
        <v>162</v>
      </c>
      <c r="C9" s="1" t="s">
        <v>167</v>
      </c>
      <c r="D9" s="1" t="s">
        <v>174</v>
      </c>
      <c r="E9" s="1">
        <v>35627</v>
      </c>
      <c r="F9" s="2">
        <v>43023</v>
      </c>
      <c r="G9" s="1">
        <v>5</v>
      </c>
      <c r="H9" s="1" t="s">
        <v>178</v>
      </c>
      <c r="I9" s="3" t="s">
        <v>272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46023</v>
      </c>
      <c r="M9" s="24">
        <f t="shared" ca="1" si="4"/>
        <v>46023.558386689816</v>
      </c>
      <c r="N9" s="15">
        <f t="shared" ca="1" si="1"/>
        <v>1</v>
      </c>
      <c r="O9" s="15">
        <f t="shared" ca="1" si="2"/>
        <v>1</v>
      </c>
      <c r="P9" s="15">
        <f ca="1">(Table2[[#This Row],[TODAY]]-Table2[[#This Row],[Date of Joining]])</f>
        <v>3000</v>
      </c>
      <c r="Q9" s="15">
        <f>VLOOKUP(A9,Table2[[#All],[Employee ID]:[Salary]],5,FALSE)</f>
        <v>35627</v>
      </c>
      <c r="R9" s="15">
        <f t="shared" si="3"/>
        <v>35627</v>
      </c>
    </row>
    <row r="10" spans="1:18" x14ac:dyDescent="0.3">
      <c r="A10" s="4" t="s">
        <v>157</v>
      </c>
      <c r="B10" s="1" t="s">
        <v>162</v>
      </c>
      <c r="C10" s="1" t="s">
        <v>169</v>
      </c>
      <c r="D10" s="1" t="s">
        <v>172</v>
      </c>
      <c r="E10" s="1">
        <v>98475</v>
      </c>
      <c r="F10" s="2">
        <v>43051</v>
      </c>
      <c r="G10" s="1">
        <v>5</v>
      </c>
      <c r="H10" s="1" t="s">
        <v>176</v>
      </c>
      <c r="I10" s="3" t="s">
        <v>277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46023</v>
      </c>
      <c r="M10" s="24">
        <f t="shared" ca="1" si="4"/>
        <v>46023.558386689816</v>
      </c>
      <c r="N10" s="15">
        <f t="shared" ca="1" si="1"/>
        <v>1</v>
      </c>
      <c r="O10" s="15">
        <f t="shared" ca="1" si="2"/>
        <v>1</v>
      </c>
      <c r="P10" s="15">
        <f ca="1">(Table2[[#This Row],[TODAY]]-Table2[[#This Row],[Date of Joining]])</f>
        <v>2972</v>
      </c>
      <c r="Q10" s="15">
        <f>VLOOKUP(A10,Table2[[#All],[Employee ID]:[Salary]],5,FALSE)</f>
        <v>98475</v>
      </c>
      <c r="R10" s="15">
        <f t="shared" si="3"/>
        <v>98475</v>
      </c>
    </row>
    <row r="11" spans="1:18" x14ac:dyDescent="0.3">
      <c r="A11" s="4" t="s">
        <v>62</v>
      </c>
      <c r="B11" s="1" t="s">
        <v>164</v>
      </c>
      <c r="C11" s="1" t="s">
        <v>169</v>
      </c>
      <c r="D11" s="1" t="s">
        <v>173</v>
      </c>
      <c r="E11" s="1">
        <v>75633</v>
      </c>
      <c r="F11" s="2">
        <v>42386</v>
      </c>
      <c r="G11" s="1">
        <v>5</v>
      </c>
      <c r="H11" s="1" t="s">
        <v>176</v>
      </c>
      <c r="I11" s="3" t="s">
        <v>226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46023</v>
      </c>
      <c r="M11" s="24">
        <f t="shared" ca="1" si="4"/>
        <v>46023.558386689816</v>
      </c>
      <c r="N11" s="15">
        <f t="shared" ca="1" si="1"/>
        <v>1</v>
      </c>
      <c r="O11" s="15">
        <f t="shared" ca="1" si="2"/>
        <v>1</v>
      </c>
      <c r="P11" s="15">
        <f ca="1">(Table2[[#This Row],[TODAY]]-Table2[[#This Row],[Date of Joining]])</f>
        <v>3637</v>
      </c>
      <c r="Q11" s="15">
        <f>VLOOKUP(A11,Table2[[#All],[Employee ID]:[Salary]],5,FALSE)</f>
        <v>75633</v>
      </c>
      <c r="R11" s="15">
        <f t="shared" si="3"/>
        <v>75633</v>
      </c>
    </row>
    <row r="12" spans="1:18" x14ac:dyDescent="0.3">
      <c r="A12" s="4" t="s">
        <v>63</v>
      </c>
      <c r="B12" s="1" t="s">
        <v>163</v>
      </c>
      <c r="C12" s="16" t="s">
        <v>175</v>
      </c>
      <c r="D12" s="1" t="s">
        <v>171</v>
      </c>
      <c r="E12" s="1">
        <v>74815</v>
      </c>
      <c r="F12" s="2">
        <v>42393</v>
      </c>
      <c r="G12" s="1">
        <v>5</v>
      </c>
      <c r="H12" s="1" t="s">
        <v>178</v>
      </c>
      <c r="I12" s="3" t="s">
        <v>227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46023</v>
      </c>
      <c r="M12" s="24">
        <f t="shared" ca="1" si="4"/>
        <v>46023.558386689816</v>
      </c>
      <c r="N12" s="15">
        <f t="shared" ca="1" si="1"/>
        <v>1</v>
      </c>
      <c r="O12" s="15">
        <f t="shared" ca="1" si="2"/>
        <v>1</v>
      </c>
      <c r="P12" s="15">
        <f ca="1">(Table2[[#This Row],[TODAY]]-Table2[[#This Row],[Date of Joining]])</f>
        <v>3630</v>
      </c>
      <c r="Q12" s="15">
        <f>VLOOKUP(A12,Table2[[#All],[Employee ID]:[Salary]],5,FALSE)</f>
        <v>74815</v>
      </c>
      <c r="R12" s="15">
        <f t="shared" si="3"/>
        <v>74815</v>
      </c>
    </row>
    <row r="13" spans="1:18" x14ac:dyDescent="0.3">
      <c r="A13" s="4" t="s">
        <v>66</v>
      </c>
      <c r="B13" s="1" t="s">
        <v>162</v>
      </c>
      <c r="C13" s="1" t="s">
        <v>169</v>
      </c>
      <c r="D13" s="16" t="s">
        <v>175</v>
      </c>
      <c r="E13" s="1">
        <v>84924</v>
      </c>
      <c r="F13" s="2">
        <v>42414</v>
      </c>
      <c r="G13" s="1">
        <v>5</v>
      </c>
      <c r="H13" s="1" t="s">
        <v>177</v>
      </c>
      <c r="I13" s="3" t="s">
        <v>229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46023</v>
      </c>
      <c r="M13" s="24">
        <f t="shared" ca="1" si="4"/>
        <v>46023.558386689816</v>
      </c>
      <c r="N13" s="15">
        <f t="shared" ca="1" si="1"/>
        <v>1</v>
      </c>
      <c r="O13" s="15">
        <f t="shared" ca="1" si="2"/>
        <v>1</v>
      </c>
      <c r="P13" s="15">
        <f ca="1">(Table2[[#This Row],[TODAY]]-Table2[[#This Row],[Date of Joining]])</f>
        <v>3609</v>
      </c>
      <c r="Q13" s="15">
        <f>VLOOKUP(A13,Table2[[#All],[Employee ID]:[Salary]],5,FALSE)</f>
        <v>84924</v>
      </c>
      <c r="R13" s="15">
        <f t="shared" si="3"/>
        <v>84924</v>
      </c>
    </row>
    <row r="14" spans="1:18" x14ac:dyDescent="0.3">
      <c r="A14" s="4" t="s">
        <v>70</v>
      </c>
      <c r="B14" s="1" t="s">
        <v>163</v>
      </c>
      <c r="C14" s="1" t="s">
        <v>168</v>
      </c>
      <c r="D14" s="1" t="s">
        <v>173</v>
      </c>
      <c r="E14" s="1">
        <v>97981</v>
      </c>
      <c r="F14" s="2">
        <v>42442</v>
      </c>
      <c r="G14" s="1">
        <v>5</v>
      </c>
      <c r="H14" s="1" t="s">
        <v>178</v>
      </c>
      <c r="I14" s="3" t="s">
        <v>231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46023</v>
      </c>
      <c r="M14" s="24">
        <f t="shared" ca="1" si="4"/>
        <v>46023.558386689816</v>
      </c>
      <c r="N14" s="15">
        <f t="shared" ca="1" si="1"/>
        <v>1</v>
      </c>
      <c r="O14" s="15">
        <f t="shared" ca="1" si="2"/>
        <v>1</v>
      </c>
      <c r="P14" s="15">
        <f ca="1">(Table2[[#This Row],[TODAY]]-Table2[[#This Row],[Date of Joining]])</f>
        <v>3581</v>
      </c>
      <c r="Q14" s="15">
        <f>VLOOKUP(A14,Table2[[#All],[Employee ID]:[Salary]],5,FALSE)</f>
        <v>97981</v>
      </c>
      <c r="R14" s="15">
        <f t="shared" si="3"/>
        <v>97981</v>
      </c>
    </row>
    <row r="15" spans="1:18" x14ac:dyDescent="0.3">
      <c r="A15" s="4" t="s">
        <v>78</v>
      </c>
      <c r="B15" s="1" t="s">
        <v>158</v>
      </c>
      <c r="C15" s="1" t="s">
        <v>167</v>
      </c>
      <c r="D15" s="1" t="s">
        <v>174</v>
      </c>
      <c r="E15" s="1">
        <v>69952</v>
      </c>
      <c r="F15" s="2">
        <v>42498</v>
      </c>
      <c r="G15" s="1">
        <v>5</v>
      </c>
      <c r="H15" s="1" t="s">
        <v>178</v>
      </c>
      <c r="I15" s="3" t="s">
        <v>179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46023</v>
      </c>
      <c r="M15" s="24">
        <f t="shared" ca="1" si="4"/>
        <v>46023.558386689816</v>
      </c>
      <c r="N15" s="15">
        <f t="shared" ca="1" si="1"/>
        <v>1</v>
      </c>
      <c r="O15" s="15">
        <f t="shared" ca="1" si="2"/>
        <v>1</v>
      </c>
      <c r="P15" s="15">
        <f ca="1">(Table2[[#This Row],[TODAY]]-Table2[[#This Row],[Date of Joining]])</f>
        <v>3525</v>
      </c>
      <c r="Q15" s="15">
        <f>VLOOKUP(A15,Table2[[#All],[Employee ID]:[Salary]],5,FALSE)</f>
        <v>69952</v>
      </c>
      <c r="R15" s="15">
        <f t="shared" si="3"/>
        <v>69952</v>
      </c>
    </row>
    <row r="16" spans="1:18" x14ac:dyDescent="0.3">
      <c r="A16" s="4" t="s">
        <v>93</v>
      </c>
      <c r="B16" s="1" t="s">
        <v>163</v>
      </c>
      <c r="C16" s="1" t="s">
        <v>165</v>
      </c>
      <c r="D16" s="16" t="s">
        <v>175</v>
      </c>
      <c r="E16" s="1">
        <v>35163</v>
      </c>
      <c r="F16" s="2">
        <v>42603</v>
      </c>
      <c r="G16" s="1">
        <v>5</v>
      </c>
      <c r="H16" s="1" t="s">
        <v>176</v>
      </c>
      <c r="I16" s="3" t="s">
        <v>246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46023</v>
      </c>
      <c r="M16" s="24">
        <f t="shared" ca="1" si="4"/>
        <v>46023.558386689816</v>
      </c>
      <c r="N16" s="15">
        <f t="shared" ca="1" si="1"/>
        <v>1</v>
      </c>
      <c r="O16" s="15">
        <f t="shared" ca="1" si="2"/>
        <v>1</v>
      </c>
      <c r="P16" s="15">
        <f ca="1">(Table2[[#This Row],[TODAY]]-Table2[[#This Row],[Date of Joining]])</f>
        <v>3420</v>
      </c>
      <c r="Q16" s="15">
        <f>VLOOKUP(A16,Table2[[#All],[Employee ID]:[Salary]],5,FALSE)</f>
        <v>35163</v>
      </c>
      <c r="R16" s="15">
        <f t="shared" si="3"/>
        <v>35163</v>
      </c>
    </row>
    <row r="17" spans="1:18" x14ac:dyDescent="0.3">
      <c r="A17" s="4" t="s">
        <v>100</v>
      </c>
      <c r="B17" s="1" t="s">
        <v>161</v>
      </c>
      <c r="C17" s="1" t="s">
        <v>168</v>
      </c>
      <c r="D17" s="16" t="s">
        <v>175</v>
      </c>
      <c r="E17" s="1">
        <v>80588</v>
      </c>
      <c r="F17" s="2">
        <v>42652</v>
      </c>
      <c r="G17" s="1">
        <v>5</v>
      </c>
      <c r="H17" s="1" t="s">
        <v>177</v>
      </c>
      <c r="I17" s="3" t="s">
        <v>213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46023</v>
      </c>
      <c r="M17" s="24">
        <f t="shared" ca="1" si="4"/>
        <v>46023.558386689816</v>
      </c>
      <c r="N17" s="15">
        <f t="shared" ca="1" si="1"/>
        <v>1</v>
      </c>
      <c r="O17" s="15">
        <f t="shared" ca="1" si="2"/>
        <v>1</v>
      </c>
      <c r="P17" s="15">
        <f ca="1">(Table2[[#This Row],[TODAY]]-Table2[[#This Row],[Date of Joining]])</f>
        <v>3371</v>
      </c>
      <c r="Q17" s="15">
        <f>VLOOKUP(A17,Table2[[#All],[Employee ID]:[Salary]],5,FALSE)</f>
        <v>80588</v>
      </c>
      <c r="R17" s="15">
        <f t="shared" si="3"/>
        <v>80588</v>
      </c>
    </row>
    <row r="18" spans="1:18" x14ac:dyDescent="0.3">
      <c r="A18" s="4" t="s">
        <v>111</v>
      </c>
      <c r="B18" s="1" t="s">
        <v>159</v>
      </c>
      <c r="C18" s="1" t="s">
        <v>169</v>
      </c>
      <c r="D18" s="16" t="s">
        <v>175</v>
      </c>
      <c r="E18" s="1">
        <v>79145</v>
      </c>
      <c r="F18" s="2">
        <v>42729</v>
      </c>
      <c r="G18" s="1">
        <v>5</v>
      </c>
      <c r="H18" s="1" t="s">
        <v>176</v>
      </c>
      <c r="I18" s="3" t="s">
        <v>220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46023</v>
      </c>
      <c r="M18" s="24">
        <f t="shared" ca="1" si="4"/>
        <v>46023.558386689816</v>
      </c>
      <c r="N18" s="15">
        <f t="shared" ca="1" si="1"/>
        <v>1</v>
      </c>
      <c r="O18" s="15">
        <f t="shared" ca="1" si="2"/>
        <v>1</v>
      </c>
      <c r="P18" s="15">
        <f ca="1">(Table2[[#This Row],[TODAY]]-Table2[[#This Row],[Date of Joining]])</f>
        <v>3294</v>
      </c>
      <c r="Q18" s="15">
        <f>VLOOKUP(A18,Table2[[#All],[Employee ID]:[Salary]],5,FALSE)</f>
        <v>79145</v>
      </c>
      <c r="R18" s="15">
        <f t="shared" si="3"/>
        <v>79145</v>
      </c>
    </row>
    <row r="19" spans="1:18" x14ac:dyDescent="0.3">
      <c r="A19" s="4" t="s">
        <v>19</v>
      </c>
      <c r="B19" s="19" t="s">
        <v>162</v>
      </c>
      <c r="C19" s="1" t="s">
        <v>168</v>
      </c>
      <c r="D19" s="1" t="s">
        <v>171</v>
      </c>
      <c r="E19" s="1">
        <v>91180</v>
      </c>
      <c r="F19" s="2">
        <v>42085</v>
      </c>
      <c r="G19" s="1">
        <v>5</v>
      </c>
      <c r="H19" s="1" t="s">
        <v>177</v>
      </c>
      <c r="I19" s="3" t="s">
        <v>189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46023</v>
      </c>
      <c r="M19" s="24">
        <f t="shared" ca="1" si="4"/>
        <v>46023.558386689816</v>
      </c>
      <c r="N19" s="15">
        <f t="shared" ca="1" si="1"/>
        <v>1</v>
      </c>
      <c r="O19" s="15">
        <f t="shared" ca="1" si="2"/>
        <v>1</v>
      </c>
      <c r="P19" s="15">
        <f ca="1">(Table2[[#This Row],[TODAY]]-Table2[[#This Row],[Date of Joining]])</f>
        <v>3938</v>
      </c>
      <c r="Q19" s="15">
        <f>VLOOKUP(A19,Table2[[#All],[Employee ID]:[Salary]],5,FALSE)</f>
        <v>91180</v>
      </c>
      <c r="R19" s="15">
        <f t="shared" si="3"/>
        <v>91180</v>
      </c>
    </row>
    <row r="20" spans="1:18" x14ac:dyDescent="0.3">
      <c r="A20" s="4" t="s">
        <v>20</v>
      </c>
      <c r="B20" s="19" t="s">
        <v>164</v>
      </c>
      <c r="C20" s="1" t="s">
        <v>167</v>
      </c>
      <c r="D20" s="16" t="s">
        <v>175</v>
      </c>
      <c r="E20" s="1">
        <v>96418</v>
      </c>
      <c r="F20" s="2">
        <v>42092</v>
      </c>
      <c r="G20" s="1">
        <v>5</v>
      </c>
      <c r="H20" s="1" t="s">
        <v>177</v>
      </c>
      <c r="I20" s="3" t="s">
        <v>180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46023</v>
      </c>
      <c r="M20" s="24">
        <f t="shared" ca="1" si="4"/>
        <v>46023.558386689816</v>
      </c>
      <c r="N20" s="15">
        <f t="shared" ca="1" si="1"/>
        <v>1</v>
      </c>
      <c r="O20" s="15">
        <f t="shared" ca="1" si="2"/>
        <v>1</v>
      </c>
      <c r="P20" s="15">
        <f ca="1">(Table2[[#This Row],[TODAY]]-Table2[[#This Row],[Date of Joining]])</f>
        <v>3931</v>
      </c>
      <c r="Q20" s="15">
        <f>VLOOKUP(A20,Table2[[#All],[Employee ID]:[Salary]],5,FALSE)</f>
        <v>96418</v>
      </c>
      <c r="R20" s="15">
        <f t="shared" si="3"/>
        <v>96418</v>
      </c>
    </row>
    <row r="21" spans="1:18" x14ac:dyDescent="0.3">
      <c r="A21" s="4" t="s">
        <v>27</v>
      </c>
      <c r="B21" s="19" t="s">
        <v>158</v>
      </c>
      <c r="C21" s="16" t="s">
        <v>175</v>
      </c>
      <c r="D21" s="1" t="s">
        <v>172</v>
      </c>
      <c r="E21" s="1">
        <v>67531</v>
      </c>
      <c r="F21" s="2">
        <v>42141</v>
      </c>
      <c r="G21" s="1">
        <v>5</v>
      </c>
      <c r="H21" s="1" t="s">
        <v>178</v>
      </c>
      <c r="I21" s="3" t="s">
        <v>196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46023</v>
      </c>
      <c r="M21" s="24">
        <f t="shared" ca="1" si="4"/>
        <v>46023.558386689816</v>
      </c>
      <c r="N21" s="15">
        <f t="shared" ca="1" si="1"/>
        <v>1</v>
      </c>
      <c r="O21" s="15">
        <f t="shared" ca="1" si="2"/>
        <v>1</v>
      </c>
      <c r="P21" s="15">
        <f ca="1">(Table2[[#This Row],[TODAY]]-Table2[[#This Row],[Date of Joining]])</f>
        <v>3882</v>
      </c>
      <c r="Q21" s="15">
        <f>VLOOKUP(A21,Table2[[#All],[Employee ID]:[Salary]],5,FALSE)</f>
        <v>67531</v>
      </c>
      <c r="R21" s="15">
        <f t="shared" si="3"/>
        <v>67531</v>
      </c>
    </row>
    <row r="22" spans="1:18" x14ac:dyDescent="0.3">
      <c r="A22" s="4" t="s">
        <v>30</v>
      </c>
      <c r="B22" s="19" t="s">
        <v>158</v>
      </c>
      <c r="C22" s="1" t="s">
        <v>165</v>
      </c>
      <c r="D22" s="1" t="s">
        <v>172</v>
      </c>
      <c r="E22" s="1">
        <v>38333</v>
      </c>
      <c r="F22" s="2">
        <v>42162</v>
      </c>
      <c r="G22" s="1">
        <v>5</v>
      </c>
      <c r="H22" s="1" t="s">
        <v>178</v>
      </c>
      <c r="I22" s="3" t="s">
        <v>199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46023</v>
      </c>
      <c r="M22" s="24">
        <f t="shared" ca="1" si="4"/>
        <v>46023.558386689816</v>
      </c>
      <c r="N22" s="15">
        <f t="shared" ca="1" si="1"/>
        <v>1</v>
      </c>
      <c r="O22" s="15">
        <f t="shared" ca="1" si="2"/>
        <v>1</v>
      </c>
      <c r="P22" s="15">
        <f ca="1">(Table2[[#This Row],[TODAY]]-Table2[[#This Row],[Date of Joining]])</f>
        <v>3861</v>
      </c>
      <c r="Q22" s="15">
        <f>VLOOKUP(A22,Table2[[#All],[Employee ID]:[Salary]],5,FALSE)</f>
        <v>38333</v>
      </c>
      <c r="R22" s="15">
        <f t="shared" si="3"/>
        <v>38333</v>
      </c>
    </row>
    <row r="23" spans="1:18" x14ac:dyDescent="0.3">
      <c r="A23" s="4" t="s">
        <v>37</v>
      </c>
      <c r="B23" s="19" t="s">
        <v>164</v>
      </c>
      <c r="C23" s="1" t="s">
        <v>169</v>
      </c>
      <c r="D23" s="1" t="s">
        <v>173</v>
      </c>
      <c r="E23" s="1">
        <v>92959</v>
      </c>
      <c r="F23" s="2">
        <v>42211</v>
      </c>
      <c r="G23" s="1">
        <v>5</v>
      </c>
      <c r="H23" s="1" t="s">
        <v>178</v>
      </c>
      <c r="I23" s="3" t="s">
        <v>206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46023</v>
      </c>
      <c r="M23" s="24">
        <f t="shared" ca="1" si="4"/>
        <v>46023.558386689816</v>
      </c>
      <c r="N23" s="15">
        <f t="shared" ca="1" si="1"/>
        <v>1</v>
      </c>
      <c r="O23" s="15">
        <f t="shared" ca="1" si="2"/>
        <v>1</v>
      </c>
      <c r="P23" s="15">
        <f ca="1">(Table2[[#This Row],[TODAY]]-Table2[[#This Row],[Date of Joining]])</f>
        <v>3812</v>
      </c>
      <c r="Q23" s="15">
        <f>VLOOKUP(A23,Table2[[#All],[Employee ID]:[Salary]],5,FALSE)</f>
        <v>92959</v>
      </c>
      <c r="R23" s="15">
        <f t="shared" si="3"/>
        <v>92959</v>
      </c>
    </row>
    <row r="24" spans="1:18" x14ac:dyDescent="0.3">
      <c r="A24" s="4" t="s">
        <v>46</v>
      </c>
      <c r="B24" s="1" t="s">
        <v>160</v>
      </c>
      <c r="C24" s="1" t="s">
        <v>169</v>
      </c>
      <c r="D24" s="1" t="s">
        <v>173</v>
      </c>
      <c r="E24" s="1">
        <v>52093</v>
      </c>
      <c r="F24" s="2">
        <v>42274</v>
      </c>
      <c r="G24" s="1">
        <v>5</v>
      </c>
      <c r="H24" s="1" t="s">
        <v>177</v>
      </c>
      <c r="I24" s="3" t="s">
        <v>214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46023</v>
      </c>
      <c r="M24" s="24">
        <f t="shared" ca="1" si="4"/>
        <v>46023.558386689816</v>
      </c>
      <c r="N24" s="15">
        <f t="shared" ca="1" si="1"/>
        <v>1</v>
      </c>
      <c r="O24" s="15">
        <f t="shared" ca="1" si="2"/>
        <v>1</v>
      </c>
      <c r="P24" s="15">
        <f ca="1">(Table2[[#This Row],[TODAY]]-Table2[[#This Row],[Date of Joining]])</f>
        <v>3749</v>
      </c>
      <c r="Q24" s="15">
        <f>VLOOKUP(A24,Table2[[#All],[Employee ID]:[Salary]],5,FALSE)</f>
        <v>52093</v>
      </c>
      <c r="R24" s="15">
        <f t="shared" si="3"/>
        <v>52093</v>
      </c>
    </row>
    <row r="25" spans="1:18" x14ac:dyDescent="0.3">
      <c r="A25" s="4" t="s">
        <v>57</v>
      </c>
      <c r="B25" s="1" t="s">
        <v>158</v>
      </c>
      <c r="C25" s="1" t="s">
        <v>166</v>
      </c>
      <c r="D25" s="1" t="s">
        <v>170</v>
      </c>
      <c r="E25" s="1">
        <v>78720</v>
      </c>
      <c r="F25" s="2">
        <v>42351</v>
      </c>
      <c r="G25" s="1">
        <v>5</v>
      </c>
      <c r="H25" s="1" t="s">
        <v>178</v>
      </c>
      <c r="I25" s="3" t="s">
        <v>216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46023</v>
      </c>
      <c r="M25" s="24">
        <f t="shared" ca="1" si="4"/>
        <v>46023.558386689816</v>
      </c>
      <c r="N25" s="15">
        <f t="shared" ca="1" si="1"/>
        <v>1</v>
      </c>
      <c r="O25" s="15">
        <f t="shared" ca="1" si="2"/>
        <v>1</v>
      </c>
      <c r="P25" s="15">
        <f ca="1">(Table2[[#This Row],[TODAY]]-Table2[[#This Row],[Date of Joining]])</f>
        <v>3672</v>
      </c>
      <c r="Q25" s="15">
        <f>VLOOKUP(A25,Table2[[#All],[Employee ID]:[Salary]],5,FALSE)</f>
        <v>78720</v>
      </c>
      <c r="R25" s="15">
        <f t="shared" si="3"/>
        <v>78720</v>
      </c>
    </row>
    <row r="26" spans="1:18" x14ac:dyDescent="0.3">
      <c r="A26" s="4" t="s">
        <v>59</v>
      </c>
      <c r="B26" s="1" t="s">
        <v>162</v>
      </c>
      <c r="C26" s="1" t="s">
        <v>167</v>
      </c>
      <c r="D26" s="1" t="s">
        <v>172</v>
      </c>
      <c r="E26" s="1">
        <v>39423</v>
      </c>
      <c r="F26" s="2">
        <v>42365</v>
      </c>
      <c r="G26" s="1">
        <v>5</v>
      </c>
      <c r="H26" s="1" t="s">
        <v>177</v>
      </c>
      <c r="I26" s="3" t="s">
        <v>224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46023</v>
      </c>
      <c r="M26" s="24">
        <f t="shared" ca="1" si="4"/>
        <v>46023.558386689816</v>
      </c>
      <c r="N26" s="15">
        <f t="shared" ca="1" si="1"/>
        <v>1</v>
      </c>
      <c r="O26" s="15">
        <f t="shared" ca="1" si="2"/>
        <v>1</v>
      </c>
      <c r="P26" s="15">
        <f ca="1">(Table2[[#This Row],[TODAY]]-Table2[[#This Row],[Date of Joining]])</f>
        <v>3658</v>
      </c>
      <c r="Q26" s="15">
        <f>VLOOKUP(A26,Table2[[#All],[Employee ID]:[Salary]],5,FALSE)</f>
        <v>39423</v>
      </c>
      <c r="R26" s="15">
        <f t="shared" si="3"/>
        <v>39423</v>
      </c>
    </row>
    <row r="27" spans="1:18" x14ac:dyDescent="0.3">
      <c r="A27" s="4" t="s">
        <v>48</v>
      </c>
      <c r="B27" s="1" t="s">
        <v>164</v>
      </c>
      <c r="C27" s="1" t="s">
        <v>165</v>
      </c>
      <c r="D27" s="1" t="s">
        <v>173</v>
      </c>
      <c r="E27" s="16" t="s">
        <v>175</v>
      </c>
      <c r="F27" s="16" t="s">
        <v>175</v>
      </c>
      <c r="G27" s="1">
        <v>4</v>
      </c>
      <c r="H27" s="1" t="s">
        <v>178</v>
      </c>
      <c r="I27" s="3" t="s">
        <v>216</v>
      </c>
      <c r="J27" s="13">
        <f>IF(G27="",AVERAGEIF(Table2[Department],C27,Table2[Performance Rating]),G27)</f>
        <v>4</v>
      </c>
      <c r="K27" s="26" t="s">
        <v>175</v>
      </c>
      <c r="L27" s="23">
        <f t="shared" ca="1" si="0"/>
        <v>46023</v>
      </c>
      <c r="M27" s="24">
        <f t="shared" ca="1" si="4"/>
        <v>46023.558386689816</v>
      </c>
      <c r="N27" s="15">
        <f t="shared" ca="1" si="1"/>
        <v>1</v>
      </c>
      <c r="O27" s="15">
        <f t="shared" ca="1" si="2"/>
        <v>1</v>
      </c>
      <c r="P27" s="26" t="s">
        <v>288</v>
      </c>
      <c r="Q27" s="15" t="str">
        <f>VLOOKUP(A27,Table2[[#All],[Employee ID]:[Salary]],5,FALSE)</f>
        <v>Unknown</v>
      </c>
      <c r="R27" s="15" t="str">
        <f t="shared" si="3"/>
        <v>Unknown</v>
      </c>
    </row>
    <row r="28" spans="1:18" x14ac:dyDescent="0.3">
      <c r="A28" s="4" t="s">
        <v>122</v>
      </c>
      <c r="B28" s="1" t="s">
        <v>158</v>
      </c>
      <c r="C28" s="1" t="s">
        <v>169</v>
      </c>
      <c r="D28" s="1" t="s">
        <v>173</v>
      </c>
      <c r="E28" s="1">
        <v>44627</v>
      </c>
      <c r="F28" s="2">
        <v>42806</v>
      </c>
      <c r="G28" s="1">
        <v>4</v>
      </c>
      <c r="H28" s="1" t="s">
        <v>178</v>
      </c>
      <c r="I28" s="3" t="s">
        <v>232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46023</v>
      </c>
      <c r="M28" s="24">
        <f t="shared" ca="1" si="4"/>
        <v>46023.558386689816</v>
      </c>
      <c r="N28" s="15">
        <f t="shared" ca="1" si="1"/>
        <v>1</v>
      </c>
      <c r="O28" s="15">
        <f t="shared" ca="1" si="2"/>
        <v>1</v>
      </c>
      <c r="P28" s="15">
        <f ca="1">(Table2[[#This Row],[TODAY]]-Table2[[#This Row],[Date of Joining]])</f>
        <v>3217</v>
      </c>
      <c r="Q28" s="15">
        <f>VLOOKUP(A28,Table2[[#All],[Employee ID]:[Salary]],5,FALSE)</f>
        <v>44627</v>
      </c>
      <c r="R28" s="15">
        <f t="shared" si="3"/>
        <v>44627</v>
      </c>
    </row>
    <row r="29" spans="1:18" x14ac:dyDescent="0.3">
      <c r="A29" s="4" t="s">
        <v>123</v>
      </c>
      <c r="B29" s="1" t="s">
        <v>164</v>
      </c>
      <c r="C29" s="1" t="s">
        <v>166</v>
      </c>
      <c r="D29" s="1" t="s">
        <v>170</v>
      </c>
      <c r="E29" s="1">
        <v>92343</v>
      </c>
      <c r="F29" s="2">
        <v>42813</v>
      </c>
      <c r="G29" s="1">
        <v>4</v>
      </c>
      <c r="H29" s="1" t="s">
        <v>178</v>
      </c>
      <c r="I29" s="3" t="s">
        <v>200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46023</v>
      </c>
      <c r="M29" s="24">
        <f t="shared" ca="1" si="4"/>
        <v>46023.558386689816</v>
      </c>
      <c r="N29" s="15">
        <f t="shared" ca="1" si="1"/>
        <v>1</v>
      </c>
      <c r="O29" s="15">
        <f t="shared" ca="1" si="2"/>
        <v>1</v>
      </c>
      <c r="P29" s="15">
        <f ca="1">(Table2[[#This Row],[TODAY]]-Table2[[#This Row],[Date of Joining]])</f>
        <v>3210</v>
      </c>
      <c r="Q29" s="15">
        <f>VLOOKUP(A29,Table2[[#All],[Employee ID]:[Salary]],5,FALSE)</f>
        <v>92343</v>
      </c>
      <c r="R29" s="15">
        <f t="shared" si="3"/>
        <v>92343</v>
      </c>
    </row>
    <row r="30" spans="1:18" x14ac:dyDescent="0.3">
      <c r="A30" s="4" t="s">
        <v>144</v>
      </c>
      <c r="B30" s="1" t="s">
        <v>161</v>
      </c>
      <c r="C30" s="1" t="s">
        <v>165</v>
      </c>
      <c r="D30" s="1" t="s">
        <v>172</v>
      </c>
      <c r="E30" s="1">
        <v>60335</v>
      </c>
      <c r="F30" s="2">
        <v>42960</v>
      </c>
      <c r="G30" s="1">
        <v>4</v>
      </c>
      <c r="H30" s="1" t="s">
        <v>176</v>
      </c>
      <c r="I30" s="3" t="s">
        <v>224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46023</v>
      </c>
      <c r="M30" s="24">
        <f t="shared" ca="1" si="4"/>
        <v>46023.558386689816</v>
      </c>
      <c r="N30" s="15">
        <f t="shared" ca="1" si="1"/>
        <v>1</v>
      </c>
      <c r="O30" s="15">
        <f t="shared" ca="1" si="2"/>
        <v>1</v>
      </c>
      <c r="P30" s="15">
        <f ca="1">(Table2[[#This Row],[TODAY]]-Table2[[#This Row],[Date of Joining]])</f>
        <v>3063</v>
      </c>
      <c r="Q30" s="15">
        <f>VLOOKUP(A30,Table2[[#All],[Employee ID]:[Salary]],5,FALSE)</f>
        <v>60335</v>
      </c>
      <c r="R30" s="15">
        <f t="shared" si="3"/>
        <v>60335</v>
      </c>
    </row>
    <row r="31" spans="1:18" x14ac:dyDescent="0.3">
      <c r="A31" s="4" t="s">
        <v>146</v>
      </c>
      <c r="B31" s="1" t="s">
        <v>163</v>
      </c>
      <c r="C31" s="1" t="s">
        <v>169</v>
      </c>
      <c r="D31" s="1" t="s">
        <v>174</v>
      </c>
      <c r="E31" s="1">
        <v>84750</v>
      </c>
      <c r="F31" s="2">
        <v>42974</v>
      </c>
      <c r="G31" s="1">
        <v>4</v>
      </c>
      <c r="H31" s="1" t="s">
        <v>178</v>
      </c>
      <c r="I31" s="3" t="s">
        <v>192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46023</v>
      </c>
      <c r="M31" s="24">
        <f t="shared" ca="1" si="4"/>
        <v>46023.558386689816</v>
      </c>
      <c r="N31" s="15">
        <f t="shared" ca="1" si="1"/>
        <v>1</v>
      </c>
      <c r="O31" s="15">
        <f t="shared" ca="1" si="2"/>
        <v>1</v>
      </c>
      <c r="P31" s="15">
        <f ca="1">(Table2[[#This Row],[TODAY]]-Table2[[#This Row],[Date of Joining]])</f>
        <v>3049</v>
      </c>
      <c r="Q31" s="15">
        <f>VLOOKUP(A31,Table2[[#All],[Employee ID]:[Salary]],5,FALSE)</f>
        <v>84750</v>
      </c>
      <c r="R31" s="15">
        <f t="shared" si="3"/>
        <v>84750</v>
      </c>
    </row>
    <row r="32" spans="1:18" x14ac:dyDescent="0.3">
      <c r="A32" s="4" t="s">
        <v>148</v>
      </c>
      <c r="B32" s="1" t="s">
        <v>163</v>
      </c>
      <c r="C32" s="1" t="s">
        <v>167</v>
      </c>
      <c r="D32" s="1" t="s">
        <v>171</v>
      </c>
      <c r="E32" s="16" t="s">
        <v>175</v>
      </c>
      <c r="F32" s="2">
        <v>42988</v>
      </c>
      <c r="G32" s="1">
        <v>4</v>
      </c>
      <c r="H32" s="1" t="s">
        <v>176</v>
      </c>
      <c r="I32" s="3" t="s">
        <v>179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46023</v>
      </c>
      <c r="M32" s="24">
        <f t="shared" ca="1" si="4"/>
        <v>46023.558386689816</v>
      </c>
      <c r="N32" s="15">
        <f t="shared" ca="1" si="1"/>
        <v>1</v>
      </c>
      <c r="O32" s="15">
        <f t="shared" ca="1" si="2"/>
        <v>1</v>
      </c>
      <c r="P32" s="15">
        <f ca="1">(Table2[[#This Row],[TODAY]]-Table2[[#This Row],[Date of Joining]])</f>
        <v>3035</v>
      </c>
      <c r="Q32" s="15" t="str">
        <f>VLOOKUP(A32,Table2[[#All],[Employee ID]:[Salary]],5,FALSE)</f>
        <v>Unknown</v>
      </c>
      <c r="R32" s="15" t="str">
        <f t="shared" si="3"/>
        <v>Unknown</v>
      </c>
    </row>
    <row r="33" spans="1:18" x14ac:dyDescent="0.3">
      <c r="A33" s="4" t="s">
        <v>73</v>
      </c>
      <c r="B33" s="1" t="s">
        <v>162</v>
      </c>
      <c r="C33" s="1" t="s">
        <v>165</v>
      </c>
      <c r="D33" s="1" t="s">
        <v>172</v>
      </c>
      <c r="E33" s="1">
        <v>33468</v>
      </c>
      <c r="F33" s="2">
        <v>42463</v>
      </c>
      <c r="G33" s="1">
        <v>4</v>
      </c>
      <c r="H33" s="1" t="s">
        <v>177</v>
      </c>
      <c r="I33" s="3" t="s">
        <v>234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46023</v>
      </c>
      <c r="M33" s="24">
        <f t="shared" ca="1" si="4"/>
        <v>46023.558386689816</v>
      </c>
      <c r="N33" s="15">
        <f t="shared" ca="1" si="1"/>
        <v>1</v>
      </c>
      <c r="O33" s="15">
        <f t="shared" ca="1" si="2"/>
        <v>1</v>
      </c>
      <c r="P33" s="15">
        <f ca="1">(Table2[[#This Row],[TODAY]]-Table2[[#This Row],[Date of Joining]])</f>
        <v>3560</v>
      </c>
      <c r="Q33" s="15">
        <f>VLOOKUP(A33,Table2[[#All],[Employee ID]:[Salary]],5,FALSE)</f>
        <v>33468</v>
      </c>
      <c r="R33" s="15">
        <f t="shared" si="3"/>
        <v>33468</v>
      </c>
    </row>
    <row r="34" spans="1:18" x14ac:dyDescent="0.3">
      <c r="A34" s="4" t="s">
        <v>81</v>
      </c>
      <c r="B34" s="1" t="s">
        <v>160</v>
      </c>
      <c r="C34" s="1" t="s">
        <v>167</v>
      </c>
      <c r="D34" s="1" t="s">
        <v>172</v>
      </c>
      <c r="E34" s="1">
        <v>91101</v>
      </c>
      <c r="F34" s="2">
        <v>42519</v>
      </c>
      <c r="G34" s="1">
        <v>4</v>
      </c>
      <c r="H34" s="1" t="s">
        <v>178</v>
      </c>
      <c r="I34" s="3" t="s">
        <v>231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5">TODAY()</f>
        <v>46023</v>
      </c>
      <c r="M34" s="24">
        <f t="shared" ref="M34:M65" ca="1" si="6">NOW()</f>
        <v>46023.558386689816</v>
      </c>
      <c r="N34" s="15">
        <f t="shared" ref="N34:N65" ca="1" si="7">MONTH(M34)</f>
        <v>1</v>
      </c>
      <c r="O34" s="15">
        <f t="shared" ref="O34:O65" ca="1" si="8">N43</f>
        <v>1</v>
      </c>
      <c r="P34" s="15">
        <f ca="1">(Table2[[#This Row],[TODAY]]-Table2[[#This Row],[Date of Joining]])</f>
        <v>3504</v>
      </c>
      <c r="Q34" s="15">
        <f>VLOOKUP(A34,Table2[[#All],[Employee ID]:[Salary]],5,FALSE)</f>
        <v>91101</v>
      </c>
      <c r="R34" s="15">
        <f t="shared" ref="R34:R65" si="9">INDEX($E$2:$E$151, MATCH(A34, $A$2:$A$151, 0))</f>
        <v>91101</v>
      </c>
    </row>
    <row r="35" spans="1:18" x14ac:dyDescent="0.3">
      <c r="A35" s="4" t="s">
        <v>92</v>
      </c>
      <c r="B35" s="1" t="s">
        <v>160</v>
      </c>
      <c r="C35" s="1" t="s">
        <v>169</v>
      </c>
      <c r="D35" s="1" t="s">
        <v>172</v>
      </c>
      <c r="E35" s="1">
        <v>44682</v>
      </c>
      <c r="F35" s="2">
        <v>42596</v>
      </c>
      <c r="G35" s="1">
        <v>4</v>
      </c>
      <c r="H35" s="1" t="s">
        <v>178</v>
      </c>
      <c r="I35" s="3" t="s">
        <v>217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5"/>
        <v>46023</v>
      </c>
      <c r="M35" s="24">
        <f t="shared" ca="1" si="6"/>
        <v>46023.558386689816</v>
      </c>
      <c r="N35" s="15">
        <f t="shared" ca="1" si="7"/>
        <v>1</v>
      </c>
      <c r="O35" s="15">
        <f t="shared" ca="1" si="8"/>
        <v>1</v>
      </c>
      <c r="P35" s="15">
        <f ca="1">(Table2[[#This Row],[TODAY]]-Table2[[#This Row],[Date of Joining]])</f>
        <v>3427</v>
      </c>
      <c r="Q35" s="15">
        <f>VLOOKUP(A35,Table2[[#All],[Employee ID]:[Salary]],5,FALSE)</f>
        <v>44682</v>
      </c>
      <c r="R35" s="15">
        <f t="shared" si="9"/>
        <v>44682</v>
      </c>
    </row>
    <row r="36" spans="1:18" x14ac:dyDescent="0.3">
      <c r="A36" s="4" t="s">
        <v>94</v>
      </c>
      <c r="B36" s="1" t="s">
        <v>163</v>
      </c>
      <c r="C36" s="1" t="s">
        <v>168</v>
      </c>
      <c r="D36" s="1" t="s">
        <v>172</v>
      </c>
      <c r="E36" s="1">
        <v>33483</v>
      </c>
      <c r="F36" s="2">
        <v>42610</v>
      </c>
      <c r="G36" s="1">
        <v>4</v>
      </c>
      <c r="H36" s="1" t="s">
        <v>177</v>
      </c>
      <c r="I36" s="3" t="s">
        <v>247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5"/>
        <v>46023</v>
      </c>
      <c r="M36" s="24">
        <f t="shared" ca="1" si="6"/>
        <v>46023.558386689816</v>
      </c>
      <c r="N36" s="15">
        <f t="shared" ca="1" si="7"/>
        <v>1</v>
      </c>
      <c r="O36" s="15">
        <f t="shared" ca="1" si="8"/>
        <v>1</v>
      </c>
      <c r="P36" s="15">
        <f ca="1">(Table2[[#This Row],[TODAY]]-Table2[[#This Row],[Date of Joining]])</f>
        <v>3413</v>
      </c>
      <c r="Q36" s="15">
        <f>VLOOKUP(A36,Table2[[#All],[Employee ID]:[Salary]],5,FALSE)</f>
        <v>33483</v>
      </c>
      <c r="R36" s="15">
        <f t="shared" si="9"/>
        <v>33483</v>
      </c>
    </row>
    <row r="37" spans="1:18" x14ac:dyDescent="0.3">
      <c r="A37" s="4" t="s">
        <v>95</v>
      </c>
      <c r="B37" s="1" t="s">
        <v>162</v>
      </c>
      <c r="C37" s="1" t="s">
        <v>166</v>
      </c>
      <c r="D37" s="1" t="s">
        <v>170</v>
      </c>
      <c r="E37" s="1">
        <v>55303</v>
      </c>
      <c r="F37" s="2">
        <v>42617</v>
      </c>
      <c r="G37" s="1">
        <v>4</v>
      </c>
      <c r="H37" s="1" t="s">
        <v>177</v>
      </c>
      <c r="I37" s="3" t="s">
        <v>200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5"/>
        <v>46023</v>
      </c>
      <c r="M37" s="24">
        <f t="shared" ca="1" si="6"/>
        <v>46023.558386689816</v>
      </c>
      <c r="N37" s="15">
        <f t="shared" ca="1" si="7"/>
        <v>1</v>
      </c>
      <c r="O37" s="15">
        <f t="shared" ca="1" si="8"/>
        <v>1</v>
      </c>
      <c r="P37" s="15">
        <f ca="1">(Table2[[#This Row],[TODAY]]-Table2[[#This Row],[Date of Joining]])</f>
        <v>3406</v>
      </c>
      <c r="Q37" s="15">
        <f>VLOOKUP(A37,Table2[[#All],[Employee ID]:[Salary]],5,FALSE)</f>
        <v>55303</v>
      </c>
      <c r="R37" s="15">
        <f t="shared" si="9"/>
        <v>55303</v>
      </c>
    </row>
    <row r="38" spans="1:18" x14ac:dyDescent="0.3">
      <c r="A38" s="4" t="s">
        <v>101</v>
      </c>
      <c r="B38" s="1" t="s">
        <v>159</v>
      </c>
      <c r="C38" s="16" t="s">
        <v>175</v>
      </c>
      <c r="D38" s="1" t="s">
        <v>171</v>
      </c>
      <c r="E38" s="1">
        <v>76238</v>
      </c>
      <c r="F38" s="2">
        <v>42659</v>
      </c>
      <c r="G38" s="1">
        <v>4</v>
      </c>
      <c r="H38" s="1" t="s">
        <v>177</v>
      </c>
      <c r="I38" s="3" t="s">
        <v>249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5"/>
        <v>46023</v>
      </c>
      <c r="M38" s="24">
        <f t="shared" ca="1" si="6"/>
        <v>46023.558386689816</v>
      </c>
      <c r="N38" s="15">
        <f t="shared" ca="1" si="7"/>
        <v>1</v>
      </c>
      <c r="O38" s="15">
        <f t="shared" ca="1" si="8"/>
        <v>1</v>
      </c>
      <c r="P38" s="15">
        <f ca="1">(Table2[[#This Row],[TODAY]]-Table2[[#This Row],[Date of Joining]])</f>
        <v>3364</v>
      </c>
      <c r="Q38" s="15">
        <f>VLOOKUP(A38,Table2[[#All],[Employee ID]:[Salary]],5,FALSE)</f>
        <v>76238</v>
      </c>
      <c r="R38" s="15">
        <f t="shared" si="9"/>
        <v>76238</v>
      </c>
    </row>
    <row r="39" spans="1:18" x14ac:dyDescent="0.3">
      <c r="A39" s="4" t="s">
        <v>107</v>
      </c>
      <c r="B39" s="1" t="s">
        <v>158</v>
      </c>
      <c r="C39" s="1" t="s">
        <v>169</v>
      </c>
      <c r="D39" s="1" t="s">
        <v>171</v>
      </c>
      <c r="E39" s="1">
        <v>70096</v>
      </c>
      <c r="F39" s="2">
        <v>42701</v>
      </c>
      <c r="G39" s="1">
        <v>4</v>
      </c>
      <c r="H39" s="1" t="s">
        <v>177</v>
      </c>
      <c r="I39" s="3" t="s">
        <v>255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5"/>
        <v>46023</v>
      </c>
      <c r="M39" s="24">
        <f t="shared" ca="1" si="6"/>
        <v>46023.558386689816</v>
      </c>
      <c r="N39" s="15">
        <f t="shared" ca="1" si="7"/>
        <v>1</v>
      </c>
      <c r="O39" s="15">
        <f t="shared" ca="1" si="8"/>
        <v>1</v>
      </c>
      <c r="P39" s="15">
        <f ca="1">(Table2[[#This Row],[TODAY]]-Table2[[#This Row],[Date of Joining]])</f>
        <v>3322</v>
      </c>
      <c r="Q39" s="15">
        <f>VLOOKUP(A39,Table2[[#All],[Employee ID]:[Salary]],5,FALSE)</f>
        <v>70096</v>
      </c>
      <c r="R39" s="15">
        <f t="shared" si="9"/>
        <v>70096</v>
      </c>
    </row>
    <row r="40" spans="1:18" x14ac:dyDescent="0.3">
      <c r="A40" s="4" t="s">
        <v>21</v>
      </c>
      <c r="B40" s="1" t="s">
        <v>162</v>
      </c>
      <c r="C40" s="16" t="s">
        <v>175</v>
      </c>
      <c r="D40" s="1" t="s">
        <v>172</v>
      </c>
      <c r="E40" s="1">
        <v>62158</v>
      </c>
      <c r="F40" s="2">
        <v>42099</v>
      </c>
      <c r="G40" s="1">
        <v>4</v>
      </c>
      <c r="H40" s="1" t="s">
        <v>177</v>
      </c>
      <c r="I40" s="3" t="s">
        <v>190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5"/>
        <v>46023</v>
      </c>
      <c r="M40" s="24">
        <f t="shared" ca="1" si="6"/>
        <v>46023.558386689816</v>
      </c>
      <c r="N40" s="15">
        <f t="shared" ca="1" si="7"/>
        <v>1</v>
      </c>
      <c r="O40" s="15">
        <f t="shared" ca="1" si="8"/>
        <v>1</v>
      </c>
      <c r="P40" s="15">
        <f ca="1">(Table2[[#This Row],[TODAY]]-Table2[[#This Row],[Date of Joining]])</f>
        <v>3924</v>
      </c>
      <c r="Q40" s="15">
        <f>VLOOKUP(A40,Table2[[#All],[Employee ID]:[Salary]],5,FALSE)</f>
        <v>62158</v>
      </c>
      <c r="R40" s="15">
        <f t="shared" si="9"/>
        <v>62158</v>
      </c>
    </row>
    <row r="41" spans="1:18" x14ac:dyDescent="0.3">
      <c r="A41" s="4" t="s">
        <v>29</v>
      </c>
      <c r="B41" s="1" t="s">
        <v>161</v>
      </c>
      <c r="C41" s="1" t="s">
        <v>166</v>
      </c>
      <c r="D41" s="16" t="s">
        <v>175</v>
      </c>
      <c r="E41" s="1">
        <v>98922</v>
      </c>
      <c r="F41" s="2">
        <v>42155</v>
      </c>
      <c r="G41" s="1">
        <v>4</v>
      </c>
      <c r="H41" s="1" t="s">
        <v>176</v>
      </c>
      <c r="I41" s="3" t="s">
        <v>198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5"/>
        <v>46023</v>
      </c>
      <c r="M41" s="24">
        <f t="shared" ca="1" si="6"/>
        <v>46023.558386689816</v>
      </c>
      <c r="N41" s="15">
        <f t="shared" ca="1" si="7"/>
        <v>1</v>
      </c>
      <c r="O41" s="15">
        <f t="shared" ca="1" si="8"/>
        <v>1</v>
      </c>
      <c r="P41" s="15">
        <f ca="1">(Table2[[#This Row],[TODAY]]-Table2[[#This Row],[Date of Joining]])</f>
        <v>3868</v>
      </c>
      <c r="Q41" s="15">
        <f>VLOOKUP(A41,Table2[[#All],[Employee ID]:[Salary]],5,FALSE)</f>
        <v>98922</v>
      </c>
      <c r="R41" s="15">
        <f t="shared" si="9"/>
        <v>98922</v>
      </c>
    </row>
    <row r="42" spans="1:18" x14ac:dyDescent="0.3">
      <c r="A42" s="4" t="s">
        <v>43</v>
      </c>
      <c r="B42" s="1" t="s">
        <v>159</v>
      </c>
      <c r="C42" s="16" t="s">
        <v>175</v>
      </c>
      <c r="D42" s="1" t="s">
        <v>173</v>
      </c>
      <c r="E42" s="1">
        <v>54463</v>
      </c>
      <c r="F42" s="2">
        <v>42253</v>
      </c>
      <c r="G42" s="1">
        <v>4</v>
      </c>
      <c r="H42" s="1" t="s">
        <v>177</v>
      </c>
      <c r="I42" s="3" t="s">
        <v>179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5"/>
        <v>46023</v>
      </c>
      <c r="M42" s="24">
        <f t="shared" ca="1" si="6"/>
        <v>46023.558386689816</v>
      </c>
      <c r="N42" s="15">
        <f t="shared" ca="1" si="7"/>
        <v>1</v>
      </c>
      <c r="O42" s="15">
        <f t="shared" ca="1" si="8"/>
        <v>1</v>
      </c>
      <c r="P42" s="15">
        <f ca="1">(Table2[[#This Row],[TODAY]]-Table2[[#This Row],[Date of Joining]])</f>
        <v>3770</v>
      </c>
      <c r="Q42" s="15">
        <f>VLOOKUP(A42,Table2[[#All],[Employee ID]:[Salary]],5,FALSE)</f>
        <v>54463</v>
      </c>
      <c r="R42" s="15">
        <f t="shared" si="9"/>
        <v>54463</v>
      </c>
    </row>
    <row r="43" spans="1:18" x14ac:dyDescent="0.3">
      <c r="A43" s="4" t="s">
        <v>55</v>
      </c>
      <c r="B43" s="1" t="s">
        <v>163</v>
      </c>
      <c r="C43" s="1" t="s">
        <v>166</v>
      </c>
      <c r="D43" s="1" t="s">
        <v>172</v>
      </c>
      <c r="E43" s="1">
        <v>58245</v>
      </c>
      <c r="F43" s="2">
        <v>42337</v>
      </c>
      <c r="G43" s="1">
        <v>4</v>
      </c>
      <c r="H43" s="1" t="s">
        <v>177</v>
      </c>
      <c r="I43" s="3" t="s">
        <v>222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5"/>
        <v>46023</v>
      </c>
      <c r="M43" s="24">
        <f t="shared" ca="1" si="6"/>
        <v>46023.558386689816</v>
      </c>
      <c r="N43" s="15">
        <f t="shared" ca="1" si="7"/>
        <v>1</v>
      </c>
      <c r="O43" s="15">
        <f t="shared" ca="1" si="8"/>
        <v>1</v>
      </c>
      <c r="P43" s="15">
        <f ca="1">(Table2[[#This Row],[TODAY]]-Table2[[#This Row],[Date of Joining]])</f>
        <v>3686</v>
      </c>
      <c r="Q43" s="15">
        <f>VLOOKUP(A43,Table2[[#All],[Employee ID]:[Salary]],5,FALSE)</f>
        <v>58245</v>
      </c>
      <c r="R43" s="15">
        <f t="shared" si="9"/>
        <v>58245</v>
      </c>
    </row>
    <row r="44" spans="1:18" x14ac:dyDescent="0.3">
      <c r="A44" s="4" t="s">
        <v>88</v>
      </c>
      <c r="B44" s="1" t="s">
        <v>158</v>
      </c>
      <c r="C44" s="1" t="s">
        <v>169</v>
      </c>
      <c r="D44" s="1" t="s">
        <v>172</v>
      </c>
      <c r="E44" s="16" t="s">
        <v>175</v>
      </c>
      <c r="F44" s="16" t="s">
        <v>175</v>
      </c>
      <c r="G44" s="1"/>
      <c r="H44" s="1" t="s">
        <v>178</v>
      </c>
      <c r="I44" s="3" t="s">
        <v>205</v>
      </c>
      <c r="J44" s="13">
        <f>IF(G44="",AVERAGEIF(Table2[Department],C44,Table2[Performance Rating]),G44)</f>
        <v>3.3846153846153846</v>
      </c>
      <c r="K44" s="26" t="s">
        <v>175</v>
      </c>
      <c r="L44" s="23">
        <f t="shared" ca="1" si="5"/>
        <v>46023</v>
      </c>
      <c r="M44" s="24">
        <f t="shared" ca="1" si="6"/>
        <v>46023.558386689816</v>
      </c>
      <c r="N44" s="15">
        <f t="shared" ca="1" si="7"/>
        <v>1</v>
      </c>
      <c r="O44" s="15">
        <f t="shared" ca="1" si="8"/>
        <v>1</v>
      </c>
      <c r="P44" s="26" t="s">
        <v>288</v>
      </c>
      <c r="Q44" s="15" t="str">
        <f>VLOOKUP(A44,Table2[[#All],[Employee ID]:[Salary]],5,FALSE)</f>
        <v>Unknown</v>
      </c>
      <c r="R44" s="15" t="str">
        <f t="shared" si="9"/>
        <v>Unknown</v>
      </c>
    </row>
    <row r="45" spans="1:18" x14ac:dyDescent="0.3">
      <c r="A45" s="4" t="s">
        <v>80</v>
      </c>
      <c r="B45" s="1" t="s">
        <v>164</v>
      </c>
      <c r="C45" s="1" t="s">
        <v>169</v>
      </c>
      <c r="D45" s="1" t="s">
        <v>172</v>
      </c>
      <c r="E45" s="1">
        <v>56512</v>
      </c>
      <c r="F45" s="2">
        <v>42512</v>
      </c>
      <c r="G45" s="1"/>
      <c r="H45" s="1" t="s">
        <v>176</v>
      </c>
      <c r="I45" s="3" t="s">
        <v>187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5"/>
        <v>46023</v>
      </c>
      <c r="M45" s="24">
        <f t="shared" ca="1" si="6"/>
        <v>46023.558386689816</v>
      </c>
      <c r="N45" s="15">
        <f t="shared" ca="1" si="7"/>
        <v>1</v>
      </c>
      <c r="O45" s="15">
        <f t="shared" ca="1" si="8"/>
        <v>1</v>
      </c>
      <c r="P45" s="15">
        <f ca="1">(Table2[[#This Row],[TODAY]]-Table2[[#This Row],[Date of Joining]])</f>
        <v>3511</v>
      </c>
      <c r="Q45" s="15">
        <f>VLOOKUP(A45,Table2[[#All],[Employee ID]:[Salary]],5,FALSE)</f>
        <v>56512</v>
      </c>
      <c r="R45" s="15">
        <f t="shared" si="9"/>
        <v>56512</v>
      </c>
    </row>
    <row r="46" spans="1:18" x14ac:dyDescent="0.3">
      <c r="A46" s="4" t="s">
        <v>51</v>
      </c>
      <c r="B46" s="1" t="s">
        <v>159</v>
      </c>
      <c r="C46" s="1" t="s">
        <v>169</v>
      </c>
      <c r="D46" s="1" t="s">
        <v>174</v>
      </c>
      <c r="E46" s="1">
        <v>35326</v>
      </c>
      <c r="F46" s="2">
        <v>42309</v>
      </c>
      <c r="G46" s="1"/>
      <c r="H46" s="1" t="s">
        <v>178</v>
      </c>
      <c r="I46" s="3" t="s">
        <v>219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5"/>
        <v>46023</v>
      </c>
      <c r="M46" s="24">
        <f t="shared" ca="1" si="6"/>
        <v>46023.558386689816</v>
      </c>
      <c r="N46" s="15">
        <f t="shared" ca="1" si="7"/>
        <v>1</v>
      </c>
      <c r="O46" s="15">
        <f t="shared" ca="1" si="8"/>
        <v>1</v>
      </c>
      <c r="P46" s="15">
        <f ca="1">(Table2[[#This Row],[TODAY]]-Table2[[#This Row],[Date of Joining]])</f>
        <v>3714</v>
      </c>
      <c r="Q46" s="15">
        <f>VLOOKUP(A46,Table2[[#All],[Employee ID]:[Salary]],5,FALSE)</f>
        <v>35326</v>
      </c>
      <c r="R46" s="15">
        <f t="shared" si="9"/>
        <v>35326</v>
      </c>
    </row>
    <row r="47" spans="1:18" x14ac:dyDescent="0.3">
      <c r="A47" s="4" t="s">
        <v>138</v>
      </c>
      <c r="B47" s="1" t="s">
        <v>159</v>
      </c>
      <c r="C47" s="1" t="s">
        <v>167</v>
      </c>
      <c r="D47" s="1" t="s">
        <v>172</v>
      </c>
      <c r="E47" s="1">
        <v>48289</v>
      </c>
      <c r="F47" s="16" t="s">
        <v>175</v>
      </c>
      <c r="G47" s="1">
        <v>3</v>
      </c>
      <c r="H47" s="1" t="s">
        <v>177</v>
      </c>
      <c r="I47" s="3" t="s">
        <v>186</v>
      </c>
      <c r="J47" s="13">
        <f>IF(G47="",AVERAGEIF(Table2[Department],C47,Table2[Performance Rating]),G47)</f>
        <v>3</v>
      </c>
      <c r="K47" s="26" t="s">
        <v>175</v>
      </c>
      <c r="L47" s="23">
        <f t="shared" ca="1" si="5"/>
        <v>46023</v>
      </c>
      <c r="M47" s="24">
        <f t="shared" ca="1" si="6"/>
        <v>46023.558386689816</v>
      </c>
      <c r="N47" s="15">
        <f t="shared" ca="1" si="7"/>
        <v>1</v>
      </c>
      <c r="O47" s="15">
        <f t="shared" ca="1" si="8"/>
        <v>1</v>
      </c>
      <c r="P47" s="26" t="s">
        <v>288</v>
      </c>
      <c r="Q47" s="15">
        <f>VLOOKUP(A47,Table2[[#All],[Employee ID]:[Salary]],5,FALSE)</f>
        <v>48289</v>
      </c>
      <c r="R47" s="15">
        <f t="shared" si="9"/>
        <v>48289</v>
      </c>
    </row>
    <row r="48" spans="1:18" x14ac:dyDescent="0.3">
      <c r="A48" s="4" t="s">
        <v>113</v>
      </c>
      <c r="B48" s="16" t="s">
        <v>175</v>
      </c>
      <c r="C48" s="1" t="s">
        <v>166</v>
      </c>
      <c r="D48" s="1" t="s">
        <v>173</v>
      </c>
      <c r="E48" s="1">
        <v>87963</v>
      </c>
      <c r="F48" s="2">
        <v>42743</v>
      </c>
      <c r="G48" s="1">
        <v>3</v>
      </c>
      <c r="H48" s="1" t="s">
        <v>176</v>
      </c>
      <c r="I48" s="3" t="s">
        <v>179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5"/>
        <v>46023</v>
      </c>
      <c r="M48" s="24">
        <f t="shared" ca="1" si="6"/>
        <v>46023.558386689816</v>
      </c>
      <c r="N48" s="15">
        <f t="shared" ca="1" si="7"/>
        <v>1</v>
      </c>
      <c r="O48" s="15">
        <f t="shared" ca="1" si="8"/>
        <v>1</v>
      </c>
      <c r="P48" s="15">
        <f ca="1">(Table2[[#This Row],[TODAY]]-Table2[[#This Row],[Date of Joining]])</f>
        <v>3280</v>
      </c>
      <c r="Q48" s="15">
        <f>VLOOKUP(A48,Table2[[#All],[Employee ID]:[Salary]],5,FALSE)</f>
        <v>87963</v>
      </c>
      <c r="R48" s="15">
        <f t="shared" si="9"/>
        <v>87963</v>
      </c>
    </row>
    <row r="49" spans="1:18" x14ac:dyDescent="0.3">
      <c r="A49" s="4" t="s">
        <v>126</v>
      </c>
      <c r="B49" s="1" t="s">
        <v>163</v>
      </c>
      <c r="C49" s="1" t="s">
        <v>167</v>
      </c>
      <c r="D49" s="1" t="s">
        <v>172</v>
      </c>
      <c r="E49" s="1">
        <v>95032</v>
      </c>
      <c r="F49" s="2">
        <v>42834</v>
      </c>
      <c r="G49" s="1">
        <v>3</v>
      </c>
      <c r="H49" s="1" t="s">
        <v>177</v>
      </c>
      <c r="I49" s="3" t="s">
        <v>264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5"/>
        <v>46023</v>
      </c>
      <c r="M49" s="24">
        <f t="shared" ca="1" si="6"/>
        <v>46023.558386689816</v>
      </c>
      <c r="N49" s="15">
        <f t="shared" ca="1" si="7"/>
        <v>1</v>
      </c>
      <c r="O49" s="15">
        <f t="shared" ca="1" si="8"/>
        <v>1</v>
      </c>
      <c r="P49" s="15">
        <f ca="1">(Table2[[#This Row],[TODAY]]-Table2[[#This Row],[Date of Joining]])</f>
        <v>3189</v>
      </c>
      <c r="Q49" s="15">
        <f>VLOOKUP(A49,Table2[[#All],[Employee ID]:[Salary]],5,FALSE)</f>
        <v>95032</v>
      </c>
      <c r="R49" s="15">
        <f t="shared" si="9"/>
        <v>95032</v>
      </c>
    </row>
    <row r="50" spans="1:18" x14ac:dyDescent="0.3">
      <c r="A50" s="4" t="s">
        <v>130</v>
      </c>
      <c r="B50" s="1" t="s">
        <v>164</v>
      </c>
      <c r="C50" s="1" t="s">
        <v>167</v>
      </c>
      <c r="D50" s="1" t="s">
        <v>170</v>
      </c>
      <c r="E50" s="1">
        <v>52036</v>
      </c>
      <c r="F50" s="2">
        <v>42862</v>
      </c>
      <c r="G50" s="1">
        <v>3</v>
      </c>
      <c r="H50" s="1" t="s">
        <v>177</v>
      </c>
      <c r="I50" s="3" t="s">
        <v>267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5"/>
        <v>46023</v>
      </c>
      <c r="M50" s="24">
        <f t="shared" ca="1" si="6"/>
        <v>46023.558386689816</v>
      </c>
      <c r="N50" s="15">
        <f t="shared" ca="1" si="7"/>
        <v>1</v>
      </c>
      <c r="O50" s="15">
        <f t="shared" ca="1" si="8"/>
        <v>1</v>
      </c>
      <c r="P50" s="15">
        <f ca="1">(Table2[[#This Row],[TODAY]]-Table2[[#This Row],[Date of Joining]])</f>
        <v>3161</v>
      </c>
      <c r="Q50" s="15">
        <f>VLOOKUP(A50,Table2[[#All],[Employee ID]:[Salary]],5,FALSE)</f>
        <v>52036</v>
      </c>
      <c r="R50" s="15">
        <f t="shared" si="9"/>
        <v>52036</v>
      </c>
    </row>
    <row r="51" spans="1:18" x14ac:dyDescent="0.3">
      <c r="A51" s="4" t="s">
        <v>134</v>
      </c>
      <c r="B51" s="1" t="s">
        <v>164</v>
      </c>
      <c r="C51" s="16" t="s">
        <v>175</v>
      </c>
      <c r="D51" s="1" t="s">
        <v>170</v>
      </c>
      <c r="E51" s="1">
        <v>71494</v>
      </c>
      <c r="F51" s="2">
        <v>42890</v>
      </c>
      <c r="G51" s="1">
        <v>3</v>
      </c>
      <c r="H51" s="1" t="s">
        <v>177</v>
      </c>
      <c r="I51" s="3" t="s">
        <v>270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5"/>
        <v>46023</v>
      </c>
      <c r="M51" s="24">
        <f t="shared" ca="1" si="6"/>
        <v>46023.558386689816</v>
      </c>
      <c r="N51" s="15">
        <f t="shared" ca="1" si="7"/>
        <v>1</v>
      </c>
      <c r="O51" s="15">
        <f t="shared" ca="1" si="8"/>
        <v>1</v>
      </c>
      <c r="P51" s="15">
        <f ca="1">(Table2[[#This Row],[TODAY]]-Table2[[#This Row],[Date of Joining]])</f>
        <v>3133</v>
      </c>
      <c r="Q51" s="15">
        <f>VLOOKUP(A51,Table2[[#All],[Employee ID]:[Salary]],5,FALSE)</f>
        <v>71494</v>
      </c>
      <c r="R51" s="15">
        <f t="shared" si="9"/>
        <v>71494</v>
      </c>
    </row>
    <row r="52" spans="1:18" x14ac:dyDescent="0.3">
      <c r="A52" s="4" t="s">
        <v>139</v>
      </c>
      <c r="B52" s="1" t="s">
        <v>162</v>
      </c>
      <c r="C52" s="1" t="s">
        <v>169</v>
      </c>
      <c r="D52" s="1" t="s">
        <v>170</v>
      </c>
      <c r="E52" s="1">
        <v>34402</v>
      </c>
      <c r="F52" s="2">
        <v>42925</v>
      </c>
      <c r="G52" s="1">
        <v>3</v>
      </c>
      <c r="H52" s="1" t="s">
        <v>176</v>
      </c>
      <c r="I52" s="3" t="s">
        <v>215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5"/>
        <v>46023</v>
      </c>
      <c r="M52" s="24">
        <f t="shared" ca="1" si="6"/>
        <v>46023.558386689816</v>
      </c>
      <c r="N52" s="15">
        <f t="shared" ca="1" si="7"/>
        <v>1</v>
      </c>
      <c r="O52" s="15">
        <f t="shared" ca="1" si="8"/>
        <v>1</v>
      </c>
      <c r="P52" s="15">
        <f ca="1">(Table2[[#This Row],[TODAY]]-Table2[[#This Row],[Date of Joining]])</f>
        <v>3098</v>
      </c>
      <c r="Q52" s="15">
        <f>VLOOKUP(A52,Table2[[#All],[Employee ID]:[Salary]],5,FALSE)</f>
        <v>34402</v>
      </c>
      <c r="R52" s="15">
        <f t="shared" si="9"/>
        <v>34402</v>
      </c>
    </row>
    <row r="53" spans="1:18" x14ac:dyDescent="0.3">
      <c r="A53" s="4" t="s">
        <v>140</v>
      </c>
      <c r="B53" s="1" t="s">
        <v>158</v>
      </c>
      <c r="C53" s="1" t="s">
        <v>166</v>
      </c>
      <c r="D53" s="1" t="s">
        <v>171</v>
      </c>
      <c r="E53" s="1">
        <v>38678</v>
      </c>
      <c r="F53" s="2">
        <v>42932</v>
      </c>
      <c r="G53" s="1">
        <v>3</v>
      </c>
      <c r="H53" s="1" t="s">
        <v>176</v>
      </c>
      <c r="I53" s="3" t="s">
        <v>272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5"/>
        <v>46023</v>
      </c>
      <c r="M53" s="24">
        <f t="shared" ca="1" si="6"/>
        <v>46023.558386689816</v>
      </c>
      <c r="N53" s="15">
        <f t="shared" ca="1" si="7"/>
        <v>1</v>
      </c>
      <c r="O53" s="15">
        <f t="shared" ca="1" si="8"/>
        <v>1</v>
      </c>
      <c r="P53" s="15">
        <f ca="1">(Table2[[#This Row],[TODAY]]-Table2[[#This Row],[Date of Joining]])</f>
        <v>3091</v>
      </c>
      <c r="Q53" s="15">
        <f>VLOOKUP(A53,Table2[[#All],[Employee ID]:[Salary]],5,FALSE)</f>
        <v>38678</v>
      </c>
      <c r="R53" s="15">
        <f t="shared" si="9"/>
        <v>38678</v>
      </c>
    </row>
    <row r="54" spans="1:18" x14ac:dyDescent="0.3">
      <c r="A54" s="4" t="s">
        <v>141</v>
      </c>
      <c r="B54" s="1" t="s">
        <v>163</v>
      </c>
      <c r="C54" s="1" t="s">
        <v>166</v>
      </c>
      <c r="D54" s="1" t="s">
        <v>170</v>
      </c>
      <c r="E54" s="1">
        <v>45758</v>
      </c>
      <c r="F54" s="2">
        <v>42939</v>
      </c>
      <c r="G54" s="1">
        <v>3</v>
      </c>
      <c r="H54" s="1" t="s">
        <v>177</v>
      </c>
      <c r="I54" s="3" t="s">
        <v>261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5"/>
        <v>46023</v>
      </c>
      <c r="M54" s="24">
        <f t="shared" ca="1" si="6"/>
        <v>46023.558386689816</v>
      </c>
      <c r="N54" s="15">
        <f t="shared" ca="1" si="7"/>
        <v>1</v>
      </c>
      <c r="O54" s="15">
        <f t="shared" ca="1" si="8"/>
        <v>1</v>
      </c>
      <c r="P54" s="15">
        <f ca="1">(Table2[[#This Row],[TODAY]]-Table2[[#This Row],[Date of Joining]])</f>
        <v>3084</v>
      </c>
      <c r="Q54" s="15">
        <f>VLOOKUP(A54,Table2[[#All],[Employee ID]:[Salary]],5,FALSE)</f>
        <v>45758</v>
      </c>
      <c r="R54" s="15">
        <f t="shared" si="9"/>
        <v>45758</v>
      </c>
    </row>
    <row r="55" spans="1:18" x14ac:dyDescent="0.3">
      <c r="A55" s="4" t="s">
        <v>143</v>
      </c>
      <c r="B55" s="16" t="s">
        <v>175</v>
      </c>
      <c r="C55" s="1" t="s">
        <v>168</v>
      </c>
      <c r="D55" s="1" t="s">
        <v>173</v>
      </c>
      <c r="E55" s="1">
        <v>39280</v>
      </c>
      <c r="F55" s="2">
        <v>42953</v>
      </c>
      <c r="G55" s="1">
        <v>3</v>
      </c>
      <c r="H55" s="1" t="s">
        <v>178</v>
      </c>
      <c r="I55" s="3" t="s">
        <v>211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5"/>
        <v>46023</v>
      </c>
      <c r="M55" s="24">
        <f t="shared" ca="1" si="6"/>
        <v>46023.558386689816</v>
      </c>
      <c r="N55" s="15">
        <f t="shared" ca="1" si="7"/>
        <v>1</v>
      </c>
      <c r="O55" s="15">
        <f t="shared" ca="1" si="8"/>
        <v>1</v>
      </c>
      <c r="P55" s="15">
        <f ca="1">(Table2[[#This Row],[TODAY]]-Table2[[#This Row],[Date of Joining]])</f>
        <v>3070</v>
      </c>
      <c r="Q55" s="15">
        <f>VLOOKUP(A55,Table2[[#All],[Employee ID]:[Salary]],5,FALSE)</f>
        <v>39280</v>
      </c>
      <c r="R55" s="15">
        <f t="shared" si="9"/>
        <v>39280</v>
      </c>
    </row>
    <row r="56" spans="1:18" x14ac:dyDescent="0.3">
      <c r="A56" s="4" t="s">
        <v>150</v>
      </c>
      <c r="B56" s="1" t="s">
        <v>159</v>
      </c>
      <c r="C56" s="1" t="s">
        <v>169</v>
      </c>
      <c r="D56" s="16" t="s">
        <v>175</v>
      </c>
      <c r="E56" s="1">
        <v>86775</v>
      </c>
      <c r="F56" s="2">
        <v>43002</v>
      </c>
      <c r="G56" s="1">
        <v>3</v>
      </c>
      <c r="H56" s="1" t="s">
        <v>176</v>
      </c>
      <c r="I56" s="3" t="s">
        <v>209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5"/>
        <v>46023</v>
      </c>
      <c r="M56" s="24">
        <f t="shared" ca="1" si="6"/>
        <v>46023.558386689816</v>
      </c>
      <c r="N56" s="15">
        <f t="shared" ca="1" si="7"/>
        <v>1</v>
      </c>
      <c r="O56" s="15">
        <f t="shared" ca="1" si="8"/>
        <v>1</v>
      </c>
      <c r="P56" s="15">
        <f ca="1">(Table2[[#This Row],[TODAY]]-Table2[[#This Row],[Date of Joining]])</f>
        <v>3021</v>
      </c>
      <c r="Q56" s="15">
        <f>VLOOKUP(A56,Table2[[#All],[Employee ID]:[Salary]],5,FALSE)</f>
        <v>86775</v>
      </c>
      <c r="R56" s="15">
        <f t="shared" si="9"/>
        <v>86775</v>
      </c>
    </row>
    <row r="57" spans="1:18" x14ac:dyDescent="0.3">
      <c r="A57" s="4" t="s">
        <v>61</v>
      </c>
      <c r="B57" s="1" t="s">
        <v>158</v>
      </c>
      <c r="C57" s="1" t="s">
        <v>165</v>
      </c>
      <c r="D57" s="1" t="s">
        <v>173</v>
      </c>
      <c r="E57" s="1">
        <v>33352</v>
      </c>
      <c r="F57" s="2">
        <v>42379</v>
      </c>
      <c r="G57" s="1">
        <v>3</v>
      </c>
      <c r="H57" s="1" t="s">
        <v>178</v>
      </c>
      <c r="I57" s="3" t="s">
        <v>197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5"/>
        <v>46023</v>
      </c>
      <c r="M57" s="24">
        <f t="shared" ca="1" si="6"/>
        <v>46023.558386689816</v>
      </c>
      <c r="N57" s="15">
        <f t="shared" ca="1" si="7"/>
        <v>1</v>
      </c>
      <c r="O57" s="15">
        <f t="shared" ca="1" si="8"/>
        <v>1</v>
      </c>
      <c r="P57" s="15">
        <f ca="1">(Table2[[#This Row],[TODAY]]-Table2[[#This Row],[Date of Joining]])</f>
        <v>3644</v>
      </c>
      <c r="Q57" s="15">
        <f>VLOOKUP(A57,Table2[[#All],[Employee ID]:[Salary]],5,FALSE)</f>
        <v>33352</v>
      </c>
      <c r="R57" s="15">
        <f t="shared" si="9"/>
        <v>33352</v>
      </c>
    </row>
    <row r="58" spans="1:18" x14ac:dyDescent="0.3">
      <c r="A58" s="4" t="s">
        <v>65</v>
      </c>
      <c r="B58" s="1" t="s">
        <v>158</v>
      </c>
      <c r="C58" s="16" t="s">
        <v>175</v>
      </c>
      <c r="D58" s="1" t="s">
        <v>172</v>
      </c>
      <c r="E58" s="1">
        <v>96949</v>
      </c>
      <c r="F58" s="2">
        <v>42407</v>
      </c>
      <c r="G58" s="1">
        <v>3</v>
      </c>
      <c r="H58" s="1" t="s">
        <v>178</v>
      </c>
      <c r="I58" s="3" t="s">
        <v>204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5"/>
        <v>46023</v>
      </c>
      <c r="M58" s="24">
        <f t="shared" ca="1" si="6"/>
        <v>46023.558386689816</v>
      </c>
      <c r="N58" s="15">
        <f t="shared" ca="1" si="7"/>
        <v>1</v>
      </c>
      <c r="O58" s="15">
        <f t="shared" ca="1" si="8"/>
        <v>1</v>
      </c>
      <c r="P58" s="15">
        <f ca="1">(Table2[[#This Row],[TODAY]]-Table2[[#This Row],[Date of Joining]])</f>
        <v>3616</v>
      </c>
      <c r="Q58" s="15">
        <f>VLOOKUP(A58,Table2[[#All],[Employee ID]:[Salary]],5,FALSE)</f>
        <v>96949</v>
      </c>
      <c r="R58" s="15">
        <f t="shared" si="9"/>
        <v>96949</v>
      </c>
    </row>
    <row r="59" spans="1:18" x14ac:dyDescent="0.3">
      <c r="A59" s="4" t="s">
        <v>74</v>
      </c>
      <c r="B59" s="1" t="s">
        <v>162</v>
      </c>
      <c r="C59" s="16" t="s">
        <v>175</v>
      </c>
      <c r="D59" s="1" t="s">
        <v>174</v>
      </c>
      <c r="E59" s="1">
        <v>96365</v>
      </c>
      <c r="F59" s="2">
        <v>42470</v>
      </c>
      <c r="G59" s="1">
        <v>3</v>
      </c>
      <c r="H59" s="1" t="s">
        <v>176</v>
      </c>
      <c r="I59" s="3" t="s">
        <v>235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5"/>
        <v>46023</v>
      </c>
      <c r="M59" s="24">
        <f t="shared" ca="1" si="6"/>
        <v>46023.558386689816</v>
      </c>
      <c r="N59" s="15">
        <f t="shared" ca="1" si="7"/>
        <v>1</v>
      </c>
      <c r="O59" s="15">
        <f t="shared" ca="1" si="8"/>
        <v>1</v>
      </c>
      <c r="P59" s="15">
        <f ca="1">(Table2[[#This Row],[TODAY]]-Table2[[#This Row],[Date of Joining]])</f>
        <v>3553</v>
      </c>
      <c r="Q59" s="15">
        <f>VLOOKUP(A59,Table2[[#All],[Employee ID]:[Salary]],5,FALSE)</f>
        <v>96365</v>
      </c>
      <c r="R59" s="15">
        <f t="shared" si="9"/>
        <v>96365</v>
      </c>
    </row>
    <row r="60" spans="1:18" x14ac:dyDescent="0.3">
      <c r="A60" s="4" t="s">
        <v>75</v>
      </c>
      <c r="B60" s="1" t="s">
        <v>159</v>
      </c>
      <c r="C60" s="1" t="s">
        <v>167</v>
      </c>
      <c r="D60" s="1" t="s">
        <v>172</v>
      </c>
      <c r="E60" s="1">
        <v>61942</v>
      </c>
      <c r="F60" s="2">
        <v>42477</v>
      </c>
      <c r="G60" s="1">
        <v>3</v>
      </c>
      <c r="H60" s="1" t="s">
        <v>178</v>
      </c>
      <c r="I60" s="3" t="s">
        <v>236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5"/>
        <v>46023</v>
      </c>
      <c r="M60" s="24">
        <f t="shared" ca="1" si="6"/>
        <v>46023.558386689816</v>
      </c>
      <c r="N60" s="15">
        <f t="shared" ca="1" si="7"/>
        <v>1</v>
      </c>
      <c r="O60" s="15">
        <f t="shared" ca="1" si="8"/>
        <v>1</v>
      </c>
      <c r="P60" s="15">
        <f ca="1">(Table2[[#This Row],[TODAY]]-Table2[[#This Row],[Date of Joining]])</f>
        <v>3546</v>
      </c>
      <c r="Q60" s="15">
        <f>VLOOKUP(A60,Table2[[#All],[Employee ID]:[Salary]],5,FALSE)</f>
        <v>61942</v>
      </c>
      <c r="R60" s="15">
        <f t="shared" si="9"/>
        <v>61942</v>
      </c>
    </row>
    <row r="61" spans="1:18" x14ac:dyDescent="0.3">
      <c r="A61" s="4" t="s">
        <v>79</v>
      </c>
      <c r="B61" s="1" t="s">
        <v>158</v>
      </c>
      <c r="C61" s="1" t="s">
        <v>169</v>
      </c>
      <c r="D61" s="1" t="s">
        <v>171</v>
      </c>
      <c r="E61" s="1">
        <v>85065</v>
      </c>
      <c r="F61" s="2">
        <v>42505</v>
      </c>
      <c r="G61" s="1">
        <v>3</v>
      </c>
      <c r="H61" s="1" t="s">
        <v>178</v>
      </c>
      <c r="I61" s="3" t="s">
        <v>238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5"/>
        <v>46023</v>
      </c>
      <c r="M61" s="24">
        <f t="shared" ca="1" si="6"/>
        <v>46023.558386689816</v>
      </c>
      <c r="N61" s="15">
        <f t="shared" ca="1" si="7"/>
        <v>1</v>
      </c>
      <c r="O61" s="15">
        <f t="shared" ca="1" si="8"/>
        <v>1</v>
      </c>
      <c r="P61" s="15">
        <f ca="1">(Table2[[#This Row],[TODAY]]-Table2[[#This Row],[Date of Joining]])</f>
        <v>3518</v>
      </c>
      <c r="Q61" s="15">
        <f>VLOOKUP(A61,Table2[[#All],[Employee ID]:[Salary]],5,FALSE)</f>
        <v>85065</v>
      </c>
      <c r="R61" s="15">
        <f t="shared" si="9"/>
        <v>85065</v>
      </c>
    </row>
    <row r="62" spans="1:18" x14ac:dyDescent="0.3">
      <c r="A62" s="4" t="s">
        <v>89</v>
      </c>
      <c r="B62" s="1" t="s">
        <v>161</v>
      </c>
      <c r="C62" s="1" t="s">
        <v>167</v>
      </c>
      <c r="D62" s="1" t="s">
        <v>171</v>
      </c>
      <c r="E62" s="1">
        <v>95621</v>
      </c>
      <c r="F62" s="2">
        <v>42575</v>
      </c>
      <c r="G62" s="1">
        <v>3</v>
      </c>
      <c r="H62" s="1" t="s">
        <v>178</v>
      </c>
      <c r="I62" s="3" t="s">
        <v>243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5"/>
        <v>46023</v>
      </c>
      <c r="M62" s="24">
        <f t="shared" ca="1" si="6"/>
        <v>46023.558386689816</v>
      </c>
      <c r="N62" s="15">
        <f t="shared" ca="1" si="7"/>
        <v>1</v>
      </c>
      <c r="O62" s="15">
        <f t="shared" ca="1" si="8"/>
        <v>1</v>
      </c>
      <c r="P62" s="15">
        <f ca="1">(Table2[[#This Row],[TODAY]]-Table2[[#This Row],[Date of Joining]])</f>
        <v>3448</v>
      </c>
      <c r="Q62" s="15">
        <f>VLOOKUP(A62,Table2[[#All],[Employee ID]:[Salary]],5,FALSE)</f>
        <v>95621</v>
      </c>
      <c r="R62" s="15">
        <f t="shared" si="9"/>
        <v>95621</v>
      </c>
    </row>
    <row r="63" spans="1:18" x14ac:dyDescent="0.3">
      <c r="A63" s="4" t="s">
        <v>96</v>
      </c>
      <c r="B63" s="1" t="s">
        <v>163</v>
      </c>
      <c r="C63" s="1" t="s">
        <v>168</v>
      </c>
      <c r="D63" s="16" t="s">
        <v>175</v>
      </c>
      <c r="E63" s="1">
        <v>63434</v>
      </c>
      <c r="F63" s="2">
        <v>42624</v>
      </c>
      <c r="G63" s="1">
        <v>3</v>
      </c>
      <c r="H63" s="1" t="s">
        <v>177</v>
      </c>
      <c r="I63" s="3" t="s">
        <v>248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5"/>
        <v>46023</v>
      </c>
      <c r="M63" s="24">
        <f t="shared" ca="1" si="6"/>
        <v>46023.558386689816</v>
      </c>
      <c r="N63" s="15">
        <f t="shared" ca="1" si="7"/>
        <v>1</v>
      </c>
      <c r="O63" s="15">
        <f t="shared" ca="1" si="8"/>
        <v>1</v>
      </c>
      <c r="P63" s="15">
        <f ca="1">(Table2[[#This Row],[TODAY]]-Table2[[#This Row],[Date of Joining]])</f>
        <v>3399</v>
      </c>
      <c r="Q63" s="15">
        <f>VLOOKUP(A63,Table2[[#All],[Employee ID]:[Salary]],5,FALSE)</f>
        <v>63434</v>
      </c>
      <c r="R63" s="15">
        <f t="shared" si="9"/>
        <v>63434</v>
      </c>
    </row>
    <row r="64" spans="1:18" x14ac:dyDescent="0.3">
      <c r="A64" s="4" t="s">
        <v>97</v>
      </c>
      <c r="B64" s="1" t="s">
        <v>161</v>
      </c>
      <c r="C64" s="16" t="s">
        <v>175</v>
      </c>
      <c r="D64" s="1" t="s">
        <v>174</v>
      </c>
      <c r="E64" s="1">
        <v>38830</v>
      </c>
      <c r="F64" s="2">
        <v>42631</v>
      </c>
      <c r="G64" s="1">
        <v>3</v>
      </c>
      <c r="H64" s="1" t="s">
        <v>176</v>
      </c>
      <c r="I64" s="3" t="s">
        <v>200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5"/>
        <v>46023</v>
      </c>
      <c r="M64" s="24">
        <f t="shared" ca="1" si="6"/>
        <v>46023.558386689816</v>
      </c>
      <c r="N64" s="15">
        <f t="shared" ca="1" si="7"/>
        <v>1</v>
      </c>
      <c r="O64" s="15">
        <f t="shared" ca="1" si="8"/>
        <v>1</v>
      </c>
      <c r="P64" s="15">
        <f ca="1">(Table2[[#This Row],[TODAY]]-Table2[[#This Row],[Date of Joining]])</f>
        <v>3392</v>
      </c>
      <c r="Q64" s="15">
        <f>VLOOKUP(A64,Table2[[#All],[Employee ID]:[Salary]],5,FALSE)</f>
        <v>38830</v>
      </c>
      <c r="R64" s="15">
        <f t="shared" si="9"/>
        <v>38830</v>
      </c>
    </row>
    <row r="65" spans="1:18" x14ac:dyDescent="0.3">
      <c r="A65" s="4" t="s">
        <v>98</v>
      </c>
      <c r="B65" s="16" t="s">
        <v>175</v>
      </c>
      <c r="C65" s="1" t="s">
        <v>169</v>
      </c>
      <c r="D65" s="1" t="s">
        <v>173</v>
      </c>
      <c r="E65" s="1">
        <v>50741</v>
      </c>
      <c r="F65" s="2">
        <v>42638</v>
      </c>
      <c r="G65" s="1">
        <v>3</v>
      </c>
      <c r="H65" s="16" t="s">
        <v>175</v>
      </c>
      <c r="I65" s="3" t="s">
        <v>237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5"/>
        <v>46023</v>
      </c>
      <c r="M65" s="24">
        <f t="shared" ca="1" si="6"/>
        <v>46023.558386689816</v>
      </c>
      <c r="N65" s="15">
        <f t="shared" ca="1" si="7"/>
        <v>1</v>
      </c>
      <c r="O65" s="15">
        <f t="shared" ca="1" si="8"/>
        <v>1</v>
      </c>
      <c r="P65" s="15">
        <f ca="1">(Table2[[#This Row],[TODAY]]-Table2[[#This Row],[Date of Joining]])</f>
        <v>3385</v>
      </c>
      <c r="Q65" s="15">
        <f>VLOOKUP(A65,Table2[[#All],[Employee ID]:[Salary]],5,FALSE)</f>
        <v>50741</v>
      </c>
      <c r="R65" s="15">
        <f t="shared" si="9"/>
        <v>50741</v>
      </c>
    </row>
    <row r="66" spans="1:18" x14ac:dyDescent="0.3">
      <c r="A66" s="4" t="s">
        <v>104</v>
      </c>
      <c r="B66" s="1" t="s">
        <v>161</v>
      </c>
      <c r="C66" s="1" t="s">
        <v>165</v>
      </c>
      <c r="D66" s="1" t="s">
        <v>171</v>
      </c>
      <c r="E66" s="1">
        <v>72939</v>
      </c>
      <c r="F66" s="2">
        <v>42680</v>
      </c>
      <c r="G66" s="1">
        <v>3</v>
      </c>
      <c r="H66" s="1" t="s">
        <v>177</v>
      </c>
      <c r="I66" s="3" t="s">
        <v>252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10">TODAY()</f>
        <v>46023</v>
      </c>
      <c r="M66" s="24">
        <f t="shared" ref="M66:M97" ca="1" si="11">NOW()</f>
        <v>46023.558386689816</v>
      </c>
      <c r="N66" s="15">
        <f t="shared" ref="N66:N97" ca="1" si="12">MONTH(M66)</f>
        <v>1</v>
      </c>
      <c r="O66" s="15">
        <f t="shared" ref="O66:O97" ca="1" si="13">N75</f>
        <v>1</v>
      </c>
      <c r="P66" s="15">
        <f ca="1">(Table2[[#This Row],[TODAY]]-Table2[[#This Row],[Date of Joining]])</f>
        <v>3343</v>
      </c>
      <c r="Q66" s="15">
        <f>VLOOKUP(A66,Table2[[#All],[Employee ID]:[Salary]],5,FALSE)</f>
        <v>72939</v>
      </c>
      <c r="R66" s="15">
        <f t="shared" ref="R66:R97" si="14">INDEX($E$2:$E$151, MATCH(A66, $A$2:$A$151, 0))</f>
        <v>72939</v>
      </c>
    </row>
    <row r="67" spans="1:18" x14ac:dyDescent="0.3">
      <c r="A67" s="4" t="s">
        <v>23</v>
      </c>
      <c r="B67" s="16" t="s">
        <v>175</v>
      </c>
      <c r="C67" s="1" t="s">
        <v>168</v>
      </c>
      <c r="D67" s="1" t="s">
        <v>172</v>
      </c>
      <c r="E67" s="1">
        <v>92443</v>
      </c>
      <c r="F67" s="2">
        <v>42113</v>
      </c>
      <c r="G67" s="1">
        <v>3</v>
      </c>
      <c r="H67" s="1" t="s">
        <v>176</v>
      </c>
      <c r="I67" s="3" t="s">
        <v>192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10"/>
        <v>46023</v>
      </c>
      <c r="M67" s="24">
        <f t="shared" ca="1" si="11"/>
        <v>46023.558386689816</v>
      </c>
      <c r="N67" s="15">
        <f t="shared" ca="1" si="12"/>
        <v>1</v>
      </c>
      <c r="O67" s="15">
        <f t="shared" ca="1" si="13"/>
        <v>1</v>
      </c>
      <c r="P67" s="15">
        <f ca="1">(Table2[[#This Row],[TODAY]]-Table2[[#This Row],[Date of Joining]])</f>
        <v>3910</v>
      </c>
      <c r="Q67" s="15">
        <f>VLOOKUP(A67,Table2[[#All],[Employee ID]:[Salary]],5,FALSE)</f>
        <v>92443</v>
      </c>
      <c r="R67" s="15">
        <f t="shared" si="14"/>
        <v>92443</v>
      </c>
    </row>
    <row r="68" spans="1:18" x14ac:dyDescent="0.3">
      <c r="A68" s="4" t="s">
        <v>31</v>
      </c>
      <c r="B68" s="1" t="s">
        <v>159</v>
      </c>
      <c r="C68" s="1" t="s">
        <v>169</v>
      </c>
      <c r="D68" s="1" t="s">
        <v>173</v>
      </c>
      <c r="E68" s="1">
        <v>36515</v>
      </c>
      <c r="F68" s="2">
        <v>42169</v>
      </c>
      <c r="G68" s="1">
        <v>3</v>
      </c>
      <c r="H68" s="1" t="s">
        <v>177</v>
      </c>
      <c r="I68" s="3" t="s">
        <v>200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10"/>
        <v>46023</v>
      </c>
      <c r="M68" s="24">
        <f t="shared" ca="1" si="11"/>
        <v>46023.558386689816</v>
      </c>
      <c r="N68" s="15">
        <f t="shared" ca="1" si="12"/>
        <v>1</v>
      </c>
      <c r="O68" s="15">
        <f t="shared" ca="1" si="13"/>
        <v>1</v>
      </c>
      <c r="P68" s="15">
        <f ca="1">(Table2[[#This Row],[TODAY]]-Table2[[#This Row],[Date of Joining]])</f>
        <v>3854</v>
      </c>
      <c r="Q68" s="15">
        <f>VLOOKUP(A68,Table2[[#All],[Employee ID]:[Salary]],5,FALSE)</f>
        <v>36515</v>
      </c>
      <c r="R68" s="15">
        <f t="shared" si="14"/>
        <v>36515</v>
      </c>
    </row>
    <row r="69" spans="1:18" x14ac:dyDescent="0.3">
      <c r="A69" s="4" t="s">
        <v>33</v>
      </c>
      <c r="B69" s="1" t="s">
        <v>163</v>
      </c>
      <c r="C69" s="16" t="s">
        <v>175</v>
      </c>
      <c r="D69" s="16" t="s">
        <v>175</v>
      </c>
      <c r="E69" s="1">
        <v>52272</v>
      </c>
      <c r="F69" s="2">
        <v>42183</v>
      </c>
      <c r="G69" s="1">
        <v>3</v>
      </c>
      <c r="H69" s="1" t="s">
        <v>177</v>
      </c>
      <c r="I69" s="3" t="s">
        <v>202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10"/>
        <v>46023</v>
      </c>
      <c r="M69" s="24">
        <f t="shared" ca="1" si="11"/>
        <v>46023.558386689816</v>
      </c>
      <c r="N69" s="15">
        <f t="shared" ca="1" si="12"/>
        <v>1</v>
      </c>
      <c r="O69" s="15">
        <f t="shared" ca="1" si="13"/>
        <v>1</v>
      </c>
      <c r="P69" s="15">
        <f ca="1">(Table2[[#This Row],[TODAY]]-Table2[[#This Row],[Date of Joining]])</f>
        <v>3840</v>
      </c>
      <c r="Q69" s="15">
        <f>VLOOKUP(A69,Table2[[#All],[Employee ID]:[Salary]],5,FALSE)</f>
        <v>52272</v>
      </c>
      <c r="R69" s="15">
        <f t="shared" si="14"/>
        <v>52272</v>
      </c>
    </row>
    <row r="70" spans="1:18" x14ac:dyDescent="0.3">
      <c r="A70" s="4" t="s">
        <v>35</v>
      </c>
      <c r="B70" s="1" t="s">
        <v>159</v>
      </c>
      <c r="C70" s="1" t="s">
        <v>168</v>
      </c>
      <c r="D70" s="1" t="s">
        <v>173</v>
      </c>
      <c r="E70" s="1">
        <v>41448</v>
      </c>
      <c r="F70" s="2">
        <v>42197</v>
      </c>
      <c r="G70" s="1">
        <v>3</v>
      </c>
      <c r="H70" s="1" t="s">
        <v>176</v>
      </c>
      <c r="I70" s="3" t="s">
        <v>204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10"/>
        <v>46023</v>
      </c>
      <c r="M70" s="24">
        <f t="shared" ca="1" si="11"/>
        <v>46023.558386689816</v>
      </c>
      <c r="N70" s="15">
        <f t="shared" ca="1" si="12"/>
        <v>1</v>
      </c>
      <c r="O70" s="15">
        <f t="shared" ca="1" si="13"/>
        <v>1</v>
      </c>
      <c r="P70" s="15">
        <f ca="1">(Table2[[#This Row],[TODAY]]-Table2[[#This Row],[Date of Joining]])</f>
        <v>3826</v>
      </c>
      <c r="Q70" s="15">
        <f>VLOOKUP(A70,Table2[[#All],[Employee ID]:[Salary]],5,FALSE)</f>
        <v>41448</v>
      </c>
      <c r="R70" s="15">
        <f t="shared" si="14"/>
        <v>41448</v>
      </c>
    </row>
    <row r="71" spans="1:18" x14ac:dyDescent="0.3">
      <c r="A71" s="4" t="s">
        <v>39</v>
      </c>
      <c r="B71" s="1" t="s">
        <v>158</v>
      </c>
      <c r="C71" s="1" t="s">
        <v>166</v>
      </c>
      <c r="D71" s="1" t="s">
        <v>170</v>
      </c>
      <c r="E71" s="1">
        <v>92299</v>
      </c>
      <c r="F71" s="2">
        <v>42225</v>
      </c>
      <c r="G71" s="1">
        <v>3</v>
      </c>
      <c r="H71" s="1" t="s">
        <v>177</v>
      </c>
      <c r="I71" s="3" t="s">
        <v>208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10"/>
        <v>46023</v>
      </c>
      <c r="M71" s="24">
        <f t="shared" ca="1" si="11"/>
        <v>46023.558386689816</v>
      </c>
      <c r="N71" s="15">
        <f t="shared" ca="1" si="12"/>
        <v>1</v>
      </c>
      <c r="O71" s="15">
        <f t="shared" ca="1" si="13"/>
        <v>1</v>
      </c>
      <c r="P71" s="15">
        <f ca="1">(Table2[[#This Row],[TODAY]]-Table2[[#This Row],[Date of Joining]])</f>
        <v>3798</v>
      </c>
      <c r="Q71" s="15">
        <f>VLOOKUP(A71,Table2[[#All],[Employee ID]:[Salary]],5,FALSE)</f>
        <v>92299</v>
      </c>
      <c r="R71" s="15">
        <f t="shared" si="14"/>
        <v>92299</v>
      </c>
    </row>
    <row r="72" spans="1:18" x14ac:dyDescent="0.3">
      <c r="A72" s="4" t="s">
        <v>40</v>
      </c>
      <c r="B72" s="1" t="s">
        <v>162</v>
      </c>
      <c r="C72" s="1" t="s">
        <v>166</v>
      </c>
      <c r="D72" s="16" t="s">
        <v>175</v>
      </c>
      <c r="E72" s="1">
        <v>95586</v>
      </c>
      <c r="F72" s="2">
        <v>42232</v>
      </c>
      <c r="G72" s="1">
        <v>3</v>
      </c>
      <c r="H72" s="1" t="s">
        <v>176</v>
      </c>
      <c r="I72" s="3" t="s">
        <v>209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10"/>
        <v>46023</v>
      </c>
      <c r="M72" s="24">
        <f t="shared" ca="1" si="11"/>
        <v>46023.558386689816</v>
      </c>
      <c r="N72" s="15">
        <f t="shared" ca="1" si="12"/>
        <v>1</v>
      </c>
      <c r="O72" s="15">
        <f t="shared" ca="1" si="13"/>
        <v>1</v>
      </c>
      <c r="P72" s="15">
        <f ca="1">(Table2[[#This Row],[TODAY]]-Table2[[#This Row],[Date of Joining]])</f>
        <v>3791</v>
      </c>
      <c r="Q72" s="15">
        <f>VLOOKUP(A72,Table2[[#All],[Employee ID]:[Salary]],5,FALSE)</f>
        <v>95586</v>
      </c>
      <c r="R72" s="15">
        <f t="shared" si="14"/>
        <v>95586</v>
      </c>
    </row>
    <row r="73" spans="1:18" x14ac:dyDescent="0.3">
      <c r="A73" s="4" t="s">
        <v>42</v>
      </c>
      <c r="B73" s="1" t="s">
        <v>160</v>
      </c>
      <c r="C73" s="1" t="s">
        <v>167</v>
      </c>
      <c r="D73" s="1" t="s">
        <v>174</v>
      </c>
      <c r="E73" s="1">
        <v>79549</v>
      </c>
      <c r="F73" s="2">
        <v>42246</v>
      </c>
      <c r="G73" s="1">
        <v>3</v>
      </c>
      <c r="H73" s="1" t="s">
        <v>177</v>
      </c>
      <c r="I73" s="3" t="s">
        <v>211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10"/>
        <v>46023</v>
      </c>
      <c r="M73" s="24">
        <f t="shared" ca="1" si="11"/>
        <v>46023.558386689816</v>
      </c>
      <c r="N73" s="15">
        <f t="shared" ca="1" si="12"/>
        <v>1</v>
      </c>
      <c r="O73" s="15">
        <f t="shared" ca="1" si="13"/>
        <v>1</v>
      </c>
      <c r="P73" s="15">
        <f ca="1">(Table2[[#This Row],[TODAY]]-Table2[[#This Row],[Date of Joining]])</f>
        <v>3777</v>
      </c>
      <c r="Q73" s="15">
        <f>VLOOKUP(A73,Table2[[#All],[Employee ID]:[Salary]],5,FALSE)</f>
        <v>79549</v>
      </c>
      <c r="R73" s="15">
        <f t="shared" si="14"/>
        <v>79549</v>
      </c>
    </row>
    <row r="74" spans="1:18" x14ac:dyDescent="0.3">
      <c r="A74" s="4" t="s">
        <v>47</v>
      </c>
      <c r="B74" s="1" t="s">
        <v>163</v>
      </c>
      <c r="C74" s="1" t="s">
        <v>166</v>
      </c>
      <c r="D74" s="1" t="s">
        <v>173</v>
      </c>
      <c r="E74" s="1">
        <v>48224</v>
      </c>
      <c r="F74" s="2">
        <v>42281</v>
      </c>
      <c r="G74" s="1">
        <v>3</v>
      </c>
      <c r="H74" s="1" t="s">
        <v>177</v>
      </c>
      <c r="I74" s="3" t="s">
        <v>215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10"/>
        <v>46023</v>
      </c>
      <c r="M74" s="24">
        <f t="shared" ca="1" si="11"/>
        <v>46023.558386689816</v>
      </c>
      <c r="N74" s="15">
        <f t="shared" ca="1" si="12"/>
        <v>1</v>
      </c>
      <c r="O74" s="15">
        <f t="shared" ca="1" si="13"/>
        <v>1</v>
      </c>
      <c r="P74" s="15">
        <f ca="1">(Table2[[#This Row],[TODAY]]-Table2[[#This Row],[Date of Joining]])</f>
        <v>3742</v>
      </c>
      <c r="Q74" s="15">
        <f>VLOOKUP(A74,Table2[[#All],[Employee ID]:[Salary]],5,FALSE)</f>
        <v>48224</v>
      </c>
      <c r="R74" s="15">
        <f t="shared" si="14"/>
        <v>48224</v>
      </c>
    </row>
    <row r="75" spans="1:18" x14ac:dyDescent="0.3">
      <c r="A75" s="4" t="s">
        <v>53</v>
      </c>
      <c r="B75" s="16" t="s">
        <v>175</v>
      </c>
      <c r="C75" s="1" t="s">
        <v>166</v>
      </c>
      <c r="D75" s="16" t="s">
        <v>175</v>
      </c>
      <c r="E75" s="1">
        <v>58962</v>
      </c>
      <c r="F75" s="2">
        <v>42323</v>
      </c>
      <c r="G75" s="1">
        <v>3</v>
      </c>
      <c r="H75" s="1" t="s">
        <v>176</v>
      </c>
      <c r="I75" s="3" t="s">
        <v>180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10"/>
        <v>46023</v>
      </c>
      <c r="M75" s="24">
        <f t="shared" ca="1" si="11"/>
        <v>46023.558386689816</v>
      </c>
      <c r="N75" s="15">
        <f t="shared" ca="1" si="12"/>
        <v>1</v>
      </c>
      <c r="O75" s="15">
        <f t="shared" ca="1" si="13"/>
        <v>1</v>
      </c>
      <c r="P75" s="15">
        <f ca="1">(Table2[[#This Row],[TODAY]]-Table2[[#This Row],[Date of Joining]])</f>
        <v>3700</v>
      </c>
      <c r="Q75" s="15">
        <f>VLOOKUP(A75,Table2[[#All],[Employee ID]:[Salary]],5,FALSE)</f>
        <v>58962</v>
      </c>
      <c r="R75" s="15">
        <f t="shared" si="14"/>
        <v>58962</v>
      </c>
    </row>
    <row r="76" spans="1:18" x14ac:dyDescent="0.3">
      <c r="A76" s="4" t="s">
        <v>54</v>
      </c>
      <c r="B76" s="1" t="s">
        <v>163</v>
      </c>
      <c r="C76" s="1" t="s">
        <v>168</v>
      </c>
      <c r="D76" s="1" t="s">
        <v>170</v>
      </c>
      <c r="E76" s="1">
        <v>92701</v>
      </c>
      <c r="F76" s="2">
        <v>42330</v>
      </c>
      <c r="G76" s="1">
        <v>3</v>
      </c>
      <c r="H76" s="1" t="s">
        <v>176</v>
      </c>
      <c r="I76" s="3" t="s">
        <v>221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10"/>
        <v>46023</v>
      </c>
      <c r="M76" s="24">
        <f t="shared" ca="1" si="11"/>
        <v>46023.558386689816</v>
      </c>
      <c r="N76" s="15">
        <f t="shared" ca="1" si="12"/>
        <v>1</v>
      </c>
      <c r="O76" s="15">
        <f t="shared" ca="1" si="13"/>
        <v>1</v>
      </c>
      <c r="P76" s="15">
        <f ca="1">(Table2[[#This Row],[TODAY]]-Table2[[#This Row],[Date of Joining]])</f>
        <v>3693</v>
      </c>
      <c r="Q76" s="15">
        <f>VLOOKUP(A76,Table2[[#All],[Employee ID]:[Salary]],5,FALSE)</f>
        <v>92701</v>
      </c>
      <c r="R76" s="15">
        <f t="shared" si="14"/>
        <v>92701</v>
      </c>
    </row>
    <row r="77" spans="1:18" x14ac:dyDescent="0.3">
      <c r="A77" s="4" t="s">
        <v>114</v>
      </c>
      <c r="B77" s="1" t="s">
        <v>158</v>
      </c>
      <c r="C77" s="1" t="s">
        <v>168</v>
      </c>
      <c r="D77" s="16" t="s">
        <v>175</v>
      </c>
      <c r="E77" s="1">
        <v>48325</v>
      </c>
      <c r="F77" s="2">
        <v>42750</v>
      </c>
      <c r="G77" s="1"/>
      <c r="H77" s="1" t="s">
        <v>177</v>
      </c>
      <c r="I77" s="3" t="s">
        <v>258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10"/>
        <v>46023</v>
      </c>
      <c r="M77" s="24">
        <f t="shared" ca="1" si="11"/>
        <v>46023.558386689816</v>
      </c>
      <c r="N77" s="15">
        <f t="shared" ca="1" si="12"/>
        <v>1</v>
      </c>
      <c r="O77" s="15">
        <f t="shared" ca="1" si="13"/>
        <v>1</v>
      </c>
      <c r="P77" s="15">
        <f ca="1">(Table2[[#This Row],[TODAY]]-Table2[[#This Row],[Date of Joining]])</f>
        <v>3273</v>
      </c>
      <c r="Q77" s="15">
        <f>VLOOKUP(A77,Table2[[#All],[Employee ID]:[Salary]],5,FALSE)</f>
        <v>48325</v>
      </c>
      <c r="R77" s="15">
        <f t="shared" si="14"/>
        <v>48325</v>
      </c>
    </row>
    <row r="78" spans="1:18" x14ac:dyDescent="0.3">
      <c r="A78" s="4" t="s">
        <v>102</v>
      </c>
      <c r="B78" s="1" t="s">
        <v>164</v>
      </c>
      <c r="C78" s="1" t="s">
        <v>168</v>
      </c>
      <c r="D78" s="1" t="s">
        <v>172</v>
      </c>
      <c r="E78" s="1">
        <v>33264</v>
      </c>
      <c r="F78" s="2">
        <v>42666</v>
      </c>
      <c r="G78" s="1"/>
      <c r="H78" s="1" t="s">
        <v>178</v>
      </c>
      <c r="I78" s="3" t="s">
        <v>250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10"/>
        <v>46023</v>
      </c>
      <c r="M78" s="24">
        <f t="shared" ca="1" si="11"/>
        <v>46023.558386689816</v>
      </c>
      <c r="N78" s="15">
        <f t="shared" ca="1" si="12"/>
        <v>1</v>
      </c>
      <c r="O78" s="15">
        <f t="shared" ca="1" si="13"/>
        <v>1</v>
      </c>
      <c r="P78" s="15">
        <f ca="1">(Table2[[#This Row],[TODAY]]-Table2[[#This Row],[Date of Joining]])</f>
        <v>3357</v>
      </c>
      <c r="Q78" s="15">
        <f>VLOOKUP(A78,Table2[[#All],[Employee ID]:[Salary]],5,FALSE)</f>
        <v>33264</v>
      </c>
      <c r="R78" s="15">
        <f t="shared" si="14"/>
        <v>33264</v>
      </c>
    </row>
    <row r="79" spans="1:18" x14ac:dyDescent="0.3">
      <c r="A79" s="4" t="s">
        <v>106</v>
      </c>
      <c r="B79" s="1" t="s">
        <v>164</v>
      </c>
      <c r="C79" s="1" t="s">
        <v>168</v>
      </c>
      <c r="D79" s="1" t="s">
        <v>174</v>
      </c>
      <c r="E79" s="1">
        <v>70470</v>
      </c>
      <c r="F79" s="2">
        <v>42694</v>
      </c>
      <c r="G79" s="1"/>
      <c r="H79" s="1" t="s">
        <v>177</v>
      </c>
      <c r="I79" s="3" t="s">
        <v>254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10"/>
        <v>46023</v>
      </c>
      <c r="M79" s="24">
        <f t="shared" ca="1" si="11"/>
        <v>46023.558386689816</v>
      </c>
      <c r="N79" s="15">
        <f t="shared" ca="1" si="12"/>
        <v>1</v>
      </c>
      <c r="O79" s="15">
        <f t="shared" ca="1" si="13"/>
        <v>1</v>
      </c>
      <c r="P79" s="15">
        <f ca="1">(Table2[[#This Row],[TODAY]]-Table2[[#This Row],[Date of Joining]])</f>
        <v>3329</v>
      </c>
      <c r="Q79" s="15">
        <f>VLOOKUP(A79,Table2[[#All],[Employee ID]:[Salary]],5,FALSE)</f>
        <v>70470</v>
      </c>
      <c r="R79" s="15">
        <f t="shared" si="14"/>
        <v>70470</v>
      </c>
    </row>
    <row r="80" spans="1:18" x14ac:dyDescent="0.3">
      <c r="A80" s="4" t="s">
        <v>109</v>
      </c>
      <c r="B80" s="1" t="s">
        <v>164</v>
      </c>
      <c r="C80" s="1" t="s">
        <v>168</v>
      </c>
      <c r="D80" s="1" t="s">
        <v>170</v>
      </c>
      <c r="E80" s="1">
        <v>66503</v>
      </c>
      <c r="F80" s="2">
        <v>42715</v>
      </c>
      <c r="G80" s="1"/>
      <c r="H80" s="1" t="s">
        <v>177</v>
      </c>
      <c r="I80" s="3" t="s">
        <v>197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10"/>
        <v>46023</v>
      </c>
      <c r="M80" s="24">
        <f t="shared" ca="1" si="11"/>
        <v>46023.558386689816</v>
      </c>
      <c r="N80" s="15">
        <f t="shared" ca="1" si="12"/>
        <v>1</v>
      </c>
      <c r="O80" s="15">
        <f t="shared" ca="1" si="13"/>
        <v>1</v>
      </c>
      <c r="P80" s="15">
        <f ca="1">(Table2[[#This Row],[TODAY]]-Table2[[#This Row],[Date of Joining]])</f>
        <v>3308</v>
      </c>
      <c r="Q80" s="15">
        <f>VLOOKUP(A80,Table2[[#All],[Employee ID]:[Salary]],5,FALSE)</f>
        <v>66503</v>
      </c>
      <c r="R80" s="15">
        <f t="shared" si="14"/>
        <v>66503</v>
      </c>
    </row>
    <row r="81" spans="1:18" x14ac:dyDescent="0.3">
      <c r="A81" s="4" t="s">
        <v>16</v>
      </c>
      <c r="B81" s="1" t="s">
        <v>159</v>
      </c>
      <c r="C81" s="1" t="s">
        <v>168</v>
      </c>
      <c r="D81" s="1" t="s">
        <v>170</v>
      </c>
      <c r="E81" s="1">
        <v>97881</v>
      </c>
      <c r="F81" s="2">
        <v>42064</v>
      </c>
      <c r="G81" s="1"/>
      <c r="H81" s="1" t="s">
        <v>178</v>
      </c>
      <c r="I81" s="3" t="s">
        <v>186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10"/>
        <v>46023</v>
      </c>
      <c r="M81" s="24">
        <f t="shared" ca="1" si="11"/>
        <v>46023.558386689816</v>
      </c>
      <c r="N81" s="15">
        <f t="shared" ca="1" si="12"/>
        <v>1</v>
      </c>
      <c r="O81" s="15">
        <f t="shared" ca="1" si="13"/>
        <v>1</v>
      </c>
      <c r="P81" s="15">
        <f ca="1">(Table2[[#This Row],[TODAY]]-Table2[[#This Row],[Date of Joining]])</f>
        <v>3959</v>
      </c>
      <c r="Q81" s="15">
        <f>VLOOKUP(A81,Table2[[#All],[Employee ID]:[Salary]],5,FALSE)</f>
        <v>97881</v>
      </c>
      <c r="R81" s="15">
        <f t="shared" si="14"/>
        <v>97881</v>
      </c>
    </row>
    <row r="82" spans="1:18" x14ac:dyDescent="0.3">
      <c r="A82" s="4" t="s">
        <v>44</v>
      </c>
      <c r="B82" s="1" t="s">
        <v>159</v>
      </c>
      <c r="C82" s="1" t="s">
        <v>168</v>
      </c>
      <c r="D82" s="1" t="s">
        <v>171</v>
      </c>
      <c r="E82" s="1">
        <v>89781</v>
      </c>
      <c r="F82" s="2">
        <v>42260</v>
      </c>
      <c r="G82" s="1"/>
      <c r="H82" s="1" t="s">
        <v>178</v>
      </c>
      <c r="I82" s="3" t="s">
        <v>212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10"/>
        <v>46023</v>
      </c>
      <c r="M82" s="24">
        <f t="shared" ca="1" si="11"/>
        <v>46023.558386689816</v>
      </c>
      <c r="N82" s="15">
        <f t="shared" ca="1" si="12"/>
        <v>1</v>
      </c>
      <c r="O82" s="15">
        <f t="shared" ca="1" si="13"/>
        <v>1</v>
      </c>
      <c r="P82" s="15">
        <f ca="1">(Table2[[#This Row],[TODAY]]-Table2[[#This Row],[Date of Joining]])</f>
        <v>3763</v>
      </c>
      <c r="Q82" s="15">
        <f>VLOOKUP(A82,Table2[[#All],[Employee ID]:[Salary]],5,FALSE)</f>
        <v>89781</v>
      </c>
      <c r="R82" s="15">
        <f t="shared" si="14"/>
        <v>89781</v>
      </c>
    </row>
    <row r="83" spans="1:18" x14ac:dyDescent="0.3">
      <c r="A83" s="4" t="s">
        <v>49</v>
      </c>
      <c r="B83" s="1" t="s">
        <v>159</v>
      </c>
      <c r="C83" s="1" t="s">
        <v>168</v>
      </c>
      <c r="D83" s="1" t="s">
        <v>170</v>
      </c>
      <c r="E83" s="1">
        <v>33956</v>
      </c>
      <c r="F83" s="2">
        <v>42295</v>
      </c>
      <c r="G83" s="1"/>
      <c r="H83" s="1" t="s">
        <v>178</v>
      </c>
      <c r="I83" s="3" t="s">
        <v>217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10"/>
        <v>46023</v>
      </c>
      <c r="M83" s="24">
        <f t="shared" ca="1" si="11"/>
        <v>46023.558386689816</v>
      </c>
      <c r="N83" s="15">
        <f t="shared" ca="1" si="12"/>
        <v>1</v>
      </c>
      <c r="O83" s="15">
        <f t="shared" ca="1" si="13"/>
        <v>1</v>
      </c>
      <c r="P83" s="15">
        <f ca="1">(Table2[[#This Row],[TODAY]]-Table2[[#This Row],[Date of Joining]])</f>
        <v>3728</v>
      </c>
      <c r="Q83" s="15">
        <f>VLOOKUP(A83,Table2[[#All],[Employee ID]:[Salary]],5,FALSE)</f>
        <v>33956</v>
      </c>
      <c r="R83" s="15">
        <f t="shared" si="14"/>
        <v>33956</v>
      </c>
    </row>
    <row r="84" spans="1:18" x14ac:dyDescent="0.3">
      <c r="A84" s="4" t="s">
        <v>137</v>
      </c>
      <c r="B84" s="1" t="s">
        <v>164</v>
      </c>
      <c r="C84" s="16" t="s">
        <v>175</v>
      </c>
      <c r="D84" s="1" t="s">
        <v>173</v>
      </c>
      <c r="E84" s="1">
        <v>62994</v>
      </c>
      <c r="F84" s="2">
        <v>42911</v>
      </c>
      <c r="G84" s="1"/>
      <c r="H84" s="1" t="s">
        <v>177</v>
      </c>
      <c r="I84" s="3" t="s">
        <v>218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10"/>
        <v>46023</v>
      </c>
      <c r="M84" s="24">
        <f t="shared" ca="1" si="11"/>
        <v>46023.558386689816</v>
      </c>
      <c r="N84" s="15">
        <f t="shared" ca="1" si="12"/>
        <v>1</v>
      </c>
      <c r="O84" s="15">
        <f t="shared" ca="1" si="13"/>
        <v>1</v>
      </c>
      <c r="P84" s="15">
        <f ca="1">(Table2[[#This Row],[TODAY]]-Table2[[#This Row],[Date of Joining]])</f>
        <v>3112</v>
      </c>
      <c r="Q84" s="15">
        <f>VLOOKUP(A84,Table2[[#All],[Employee ID]:[Salary]],5,FALSE)</f>
        <v>62994</v>
      </c>
      <c r="R84" s="15">
        <f t="shared" si="14"/>
        <v>62994</v>
      </c>
    </row>
    <row r="85" spans="1:18" x14ac:dyDescent="0.3">
      <c r="A85" s="4" t="s">
        <v>82</v>
      </c>
      <c r="B85" s="1" t="s">
        <v>162</v>
      </c>
      <c r="C85" s="16" t="s">
        <v>175</v>
      </c>
      <c r="D85" s="1" t="s">
        <v>170</v>
      </c>
      <c r="E85" s="1">
        <v>41243</v>
      </c>
      <c r="F85" s="2">
        <v>42526</v>
      </c>
      <c r="G85" s="1"/>
      <c r="H85" s="1" t="s">
        <v>177</v>
      </c>
      <c r="I85" s="3" t="s">
        <v>208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10"/>
        <v>46023</v>
      </c>
      <c r="M85" s="24">
        <f t="shared" ca="1" si="11"/>
        <v>46023.558386689816</v>
      </c>
      <c r="N85" s="15">
        <f t="shared" ca="1" si="12"/>
        <v>1</v>
      </c>
      <c r="O85" s="15">
        <f t="shared" ca="1" si="13"/>
        <v>1</v>
      </c>
      <c r="P85" s="15">
        <f ca="1">(Table2[[#This Row],[TODAY]]-Table2[[#This Row],[Date of Joining]])</f>
        <v>3497</v>
      </c>
      <c r="Q85" s="15">
        <f>VLOOKUP(A85,Table2[[#All],[Employee ID]:[Salary]],5,FALSE)</f>
        <v>41243</v>
      </c>
      <c r="R85" s="15">
        <f t="shared" si="14"/>
        <v>41243</v>
      </c>
    </row>
    <row r="86" spans="1:18" x14ac:dyDescent="0.3">
      <c r="A86" s="4" t="s">
        <v>24</v>
      </c>
      <c r="B86" s="1" t="s">
        <v>164</v>
      </c>
      <c r="C86" s="16" t="s">
        <v>175</v>
      </c>
      <c r="D86" s="1" t="s">
        <v>170</v>
      </c>
      <c r="E86" s="1">
        <v>90271</v>
      </c>
      <c r="F86" s="2">
        <v>42120</v>
      </c>
      <c r="G86" s="1"/>
      <c r="H86" s="1" t="s">
        <v>177</v>
      </c>
      <c r="I86" s="3" t="s">
        <v>193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10"/>
        <v>46023</v>
      </c>
      <c r="M86" s="24">
        <f t="shared" ca="1" si="11"/>
        <v>46023.558386689816</v>
      </c>
      <c r="N86" s="15">
        <f t="shared" ca="1" si="12"/>
        <v>1</v>
      </c>
      <c r="O86" s="15">
        <f t="shared" ca="1" si="13"/>
        <v>1</v>
      </c>
      <c r="P86" s="15">
        <f ca="1">(Table2[[#This Row],[TODAY]]-Table2[[#This Row],[Date of Joining]])</f>
        <v>3903</v>
      </c>
      <c r="Q86" s="15">
        <f>VLOOKUP(A86,Table2[[#All],[Employee ID]:[Salary]],5,FALSE)</f>
        <v>90271</v>
      </c>
      <c r="R86" s="15">
        <f t="shared" si="14"/>
        <v>90271</v>
      </c>
    </row>
    <row r="87" spans="1:18" x14ac:dyDescent="0.3">
      <c r="A87" s="4" t="s">
        <v>41</v>
      </c>
      <c r="B87" s="1" t="s">
        <v>163</v>
      </c>
      <c r="C87" s="16" t="s">
        <v>175</v>
      </c>
      <c r="D87" s="1" t="s">
        <v>171</v>
      </c>
      <c r="E87" s="1">
        <v>95367</v>
      </c>
      <c r="F87" s="2">
        <v>42239</v>
      </c>
      <c r="G87" s="1"/>
      <c r="H87" s="1" t="s">
        <v>177</v>
      </c>
      <c r="I87" s="3" t="s">
        <v>210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10"/>
        <v>46023</v>
      </c>
      <c r="M87" s="24">
        <f t="shared" ca="1" si="11"/>
        <v>46023.558386689816</v>
      </c>
      <c r="N87" s="15">
        <f t="shared" ca="1" si="12"/>
        <v>1</v>
      </c>
      <c r="O87" s="15">
        <f t="shared" ca="1" si="13"/>
        <v>1</v>
      </c>
      <c r="P87" s="15">
        <f ca="1">(Table2[[#This Row],[TODAY]]-Table2[[#This Row],[Date of Joining]])</f>
        <v>3784</v>
      </c>
      <c r="Q87" s="15">
        <f>VLOOKUP(A87,Table2[[#All],[Employee ID]:[Salary]],5,FALSE)</f>
        <v>95367</v>
      </c>
      <c r="R87" s="15">
        <f t="shared" si="14"/>
        <v>95367</v>
      </c>
    </row>
    <row r="88" spans="1:18" x14ac:dyDescent="0.3">
      <c r="A88" s="4" t="s">
        <v>127</v>
      </c>
      <c r="B88" s="1" t="s">
        <v>158</v>
      </c>
      <c r="C88" s="1" t="s">
        <v>167</v>
      </c>
      <c r="D88" s="1" t="s">
        <v>174</v>
      </c>
      <c r="E88" s="1">
        <v>44358</v>
      </c>
      <c r="F88" s="2">
        <v>42841</v>
      </c>
      <c r="G88" s="1"/>
      <c r="H88" s="1" t="s">
        <v>178</v>
      </c>
      <c r="I88" s="3" t="s">
        <v>197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10"/>
        <v>46023</v>
      </c>
      <c r="M88" s="24">
        <f t="shared" ca="1" si="11"/>
        <v>46023.558386689816</v>
      </c>
      <c r="N88" s="15">
        <f t="shared" ca="1" si="12"/>
        <v>1</v>
      </c>
      <c r="O88" s="15">
        <f t="shared" ca="1" si="13"/>
        <v>1</v>
      </c>
      <c r="P88" s="15">
        <f ca="1">(Table2[[#This Row],[TODAY]]-Table2[[#This Row],[Date of Joining]])</f>
        <v>3182</v>
      </c>
      <c r="Q88" s="15">
        <f>VLOOKUP(A88,Table2[[#All],[Employee ID]:[Salary]],5,FALSE)</f>
        <v>44358</v>
      </c>
      <c r="R88" s="15">
        <f t="shared" si="14"/>
        <v>44358</v>
      </c>
    </row>
    <row r="89" spans="1:18" x14ac:dyDescent="0.3">
      <c r="A89" s="4" t="s">
        <v>151</v>
      </c>
      <c r="B89" s="1" t="s">
        <v>163</v>
      </c>
      <c r="C89" s="1" t="s">
        <v>167</v>
      </c>
      <c r="D89" s="1" t="s">
        <v>173</v>
      </c>
      <c r="E89" s="1">
        <v>91620</v>
      </c>
      <c r="F89" s="2">
        <v>43009</v>
      </c>
      <c r="G89" s="1"/>
      <c r="H89" s="1" t="s">
        <v>178</v>
      </c>
      <c r="I89" s="3" t="s">
        <v>274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10"/>
        <v>46023</v>
      </c>
      <c r="M89" s="24">
        <f t="shared" ca="1" si="11"/>
        <v>46023.558386689816</v>
      </c>
      <c r="N89" s="15">
        <f t="shared" ca="1" si="12"/>
        <v>1</v>
      </c>
      <c r="O89" s="15">
        <f t="shared" ca="1" si="13"/>
        <v>1</v>
      </c>
      <c r="P89" s="15">
        <f ca="1">(Table2[[#This Row],[TODAY]]-Table2[[#This Row],[Date of Joining]])</f>
        <v>3014</v>
      </c>
      <c r="Q89" s="15">
        <f>VLOOKUP(A89,Table2[[#All],[Employee ID]:[Salary]],5,FALSE)</f>
        <v>91620</v>
      </c>
      <c r="R89" s="15">
        <f t="shared" si="14"/>
        <v>91620</v>
      </c>
    </row>
    <row r="90" spans="1:18" x14ac:dyDescent="0.3">
      <c r="A90" s="4" t="s">
        <v>91</v>
      </c>
      <c r="B90" s="1" t="s">
        <v>162</v>
      </c>
      <c r="C90" s="1" t="s">
        <v>167</v>
      </c>
      <c r="D90" s="1" t="s">
        <v>172</v>
      </c>
      <c r="E90" s="1">
        <v>99621</v>
      </c>
      <c r="F90" s="2">
        <v>42589</v>
      </c>
      <c r="G90" s="1"/>
      <c r="H90" s="1" t="s">
        <v>176</v>
      </c>
      <c r="I90" s="3" t="s">
        <v>245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10"/>
        <v>46023</v>
      </c>
      <c r="M90" s="24">
        <f t="shared" ca="1" si="11"/>
        <v>46023.558386689816</v>
      </c>
      <c r="N90" s="15">
        <f t="shared" ca="1" si="12"/>
        <v>1</v>
      </c>
      <c r="O90" s="15">
        <f t="shared" ca="1" si="13"/>
        <v>1</v>
      </c>
      <c r="P90" s="15">
        <f ca="1">(Table2[[#This Row],[TODAY]]-Table2[[#This Row],[Date of Joining]])</f>
        <v>3434</v>
      </c>
      <c r="Q90" s="15">
        <f>VLOOKUP(A90,Table2[[#All],[Employee ID]:[Salary]],5,FALSE)</f>
        <v>99621</v>
      </c>
      <c r="R90" s="15">
        <f t="shared" si="14"/>
        <v>99621</v>
      </c>
    </row>
    <row r="91" spans="1:18" x14ac:dyDescent="0.3">
      <c r="A91" s="4" t="s">
        <v>14</v>
      </c>
      <c r="B91" s="1" t="s">
        <v>162</v>
      </c>
      <c r="C91" s="1" t="s">
        <v>167</v>
      </c>
      <c r="D91" s="16" t="s">
        <v>175</v>
      </c>
      <c r="E91" s="1">
        <v>67721</v>
      </c>
      <c r="F91" s="2">
        <v>42050</v>
      </c>
      <c r="G91" s="1"/>
      <c r="H91" s="1" t="s">
        <v>177</v>
      </c>
      <c r="I91" s="3" t="s">
        <v>182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10"/>
        <v>46023</v>
      </c>
      <c r="M91" s="24">
        <f t="shared" ca="1" si="11"/>
        <v>46023.558386689816</v>
      </c>
      <c r="N91" s="15">
        <f t="shared" ca="1" si="12"/>
        <v>1</v>
      </c>
      <c r="O91" s="15">
        <f t="shared" ca="1" si="13"/>
        <v>1</v>
      </c>
      <c r="P91" s="15">
        <f ca="1">(Table2[[#This Row],[TODAY]]-Table2[[#This Row],[Date of Joining]])</f>
        <v>3973</v>
      </c>
      <c r="Q91" s="15">
        <f>VLOOKUP(A91,Table2[[#All],[Employee ID]:[Salary]],5,FALSE)</f>
        <v>67721</v>
      </c>
      <c r="R91" s="15">
        <f t="shared" si="14"/>
        <v>67721</v>
      </c>
    </row>
    <row r="92" spans="1:18" x14ac:dyDescent="0.3">
      <c r="A92" s="4" t="s">
        <v>145</v>
      </c>
      <c r="B92" s="1" t="s">
        <v>163</v>
      </c>
      <c r="C92" s="1" t="s">
        <v>166</v>
      </c>
      <c r="D92" s="1" t="s">
        <v>170</v>
      </c>
      <c r="E92" s="1">
        <v>84968</v>
      </c>
      <c r="F92" s="2">
        <v>42967</v>
      </c>
      <c r="G92" s="1"/>
      <c r="H92" s="1" t="s">
        <v>177</v>
      </c>
      <c r="I92" s="3" t="s">
        <v>273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10"/>
        <v>46023</v>
      </c>
      <c r="M92" s="24">
        <f t="shared" ca="1" si="11"/>
        <v>46023.558386689816</v>
      </c>
      <c r="N92" s="15">
        <f t="shared" ca="1" si="12"/>
        <v>1</v>
      </c>
      <c r="O92" s="15">
        <f t="shared" ca="1" si="13"/>
        <v>1</v>
      </c>
      <c r="P92" s="15">
        <f ca="1">(Table2[[#This Row],[TODAY]]-Table2[[#This Row],[Date of Joining]])</f>
        <v>3056</v>
      </c>
      <c r="Q92" s="15">
        <f>VLOOKUP(A92,Table2[[#All],[Employee ID]:[Salary]],5,FALSE)</f>
        <v>84968</v>
      </c>
      <c r="R92" s="15">
        <f t="shared" si="14"/>
        <v>84968</v>
      </c>
    </row>
    <row r="93" spans="1:18" x14ac:dyDescent="0.3">
      <c r="A93" s="4" t="s">
        <v>110</v>
      </c>
      <c r="B93" s="1" t="s">
        <v>159</v>
      </c>
      <c r="C93" s="1" t="s">
        <v>166</v>
      </c>
      <c r="D93" s="1" t="s">
        <v>170</v>
      </c>
      <c r="E93" s="1">
        <v>42096</v>
      </c>
      <c r="F93" s="2">
        <v>42722</v>
      </c>
      <c r="G93" s="1"/>
      <c r="H93" s="1" t="s">
        <v>178</v>
      </c>
      <c r="I93" s="3" t="s">
        <v>257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10"/>
        <v>46023</v>
      </c>
      <c r="M93" s="24">
        <f t="shared" ca="1" si="11"/>
        <v>46023.558386689816</v>
      </c>
      <c r="N93" s="15">
        <f t="shared" ca="1" si="12"/>
        <v>1</v>
      </c>
      <c r="O93" s="15">
        <f t="shared" ca="1" si="13"/>
        <v>1</v>
      </c>
      <c r="P93" s="15">
        <f ca="1">(Table2[[#This Row],[TODAY]]-Table2[[#This Row],[Date of Joining]])</f>
        <v>3301</v>
      </c>
      <c r="Q93" s="15">
        <f>VLOOKUP(A93,Table2[[#All],[Employee ID]:[Salary]],5,FALSE)</f>
        <v>42096</v>
      </c>
      <c r="R93" s="15">
        <f t="shared" si="14"/>
        <v>42096</v>
      </c>
    </row>
    <row r="94" spans="1:18" x14ac:dyDescent="0.3">
      <c r="A94" s="4" t="s">
        <v>17</v>
      </c>
      <c r="B94" s="1" t="s">
        <v>163</v>
      </c>
      <c r="C94" s="1" t="s">
        <v>166</v>
      </c>
      <c r="D94" s="1" t="s">
        <v>173</v>
      </c>
      <c r="E94" s="1">
        <v>91846</v>
      </c>
      <c r="F94" s="2">
        <v>42071</v>
      </c>
      <c r="G94" s="1"/>
      <c r="H94" s="1" t="s">
        <v>177</v>
      </c>
      <c r="I94" s="3" t="s">
        <v>187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10"/>
        <v>46023</v>
      </c>
      <c r="M94" s="24">
        <f t="shared" ca="1" si="11"/>
        <v>46023.558386689816</v>
      </c>
      <c r="N94" s="15">
        <f t="shared" ca="1" si="12"/>
        <v>1</v>
      </c>
      <c r="O94" s="15">
        <f t="shared" ca="1" si="13"/>
        <v>1</v>
      </c>
      <c r="P94" s="15">
        <f ca="1">(Table2[[#This Row],[TODAY]]-Table2[[#This Row],[Date of Joining]])</f>
        <v>3952</v>
      </c>
      <c r="Q94" s="15">
        <f>VLOOKUP(A94,Table2[[#All],[Employee ID]:[Salary]],5,FALSE)</f>
        <v>91846</v>
      </c>
      <c r="R94" s="15">
        <f t="shared" si="14"/>
        <v>91846</v>
      </c>
    </row>
    <row r="95" spans="1:18" x14ac:dyDescent="0.3">
      <c r="A95" s="4" t="s">
        <v>45</v>
      </c>
      <c r="B95" s="1" t="s">
        <v>159</v>
      </c>
      <c r="C95" s="1" t="s">
        <v>166</v>
      </c>
      <c r="D95" s="16" t="s">
        <v>175</v>
      </c>
      <c r="E95" s="1">
        <v>64796</v>
      </c>
      <c r="F95" s="2">
        <v>42267</v>
      </c>
      <c r="G95" s="1"/>
      <c r="H95" s="1" t="s">
        <v>176</v>
      </c>
      <c r="I95" s="3" t="s">
        <v>213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10"/>
        <v>46023</v>
      </c>
      <c r="M95" s="24">
        <f t="shared" ca="1" si="11"/>
        <v>46023.558386689816</v>
      </c>
      <c r="N95" s="15">
        <f t="shared" ca="1" si="12"/>
        <v>1</v>
      </c>
      <c r="O95" s="15">
        <f t="shared" ca="1" si="13"/>
        <v>1</v>
      </c>
      <c r="P95" s="15">
        <f ca="1">(Table2[[#This Row],[TODAY]]-Table2[[#This Row],[Date of Joining]])</f>
        <v>3756</v>
      </c>
      <c r="Q95" s="15">
        <f>VLOOKUP(A95,Table2[[#All],[Employee ID]:[Salary]],5,FALSE)</f>
        <v>64796</v>
      </c>
      <c r="R95" s="15">
        <f t="shared" si="14"/>
        <v>64796</v>
      </c>
    </row>
    <row r="96" spans="1:18" x14ac:dyDescent="0.3">
      <c r="A96" s="4" t="s">
        <v>120</v>
      </c>
      <c r="B96" s="1" t="s">
        <v>158</v>
      </c>
      <c r="C96" s="1" t="s">
        <v>165</v>
      </c>
      <c r="D96" s="1" t="s">
        <v>172</v>
      </c>
      <c r="E96" s="1">
        <v>78330</v>
      </c>
      <c r="F96" s="2">
        <v>42792</v>
      </c>
      <c r="G96" s="1"/>
      <c r="H96" s="1" t="s">
        <v>176</v>
      </c>
      <c r="I96" s="3" t="s">
        <v>255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10"/>
        <v>46023</v>
      </c>
      <c r="M96" s="24">
        <f t="shared" ca="1" si="11"/>
        <v>46023.558386689816</v>
      </c>
      <c r="N96" s="15">
        <f t="shared" ca="1" si="12"/>
        <v>1</v>
      </c>
      <c r="O96" s="15">
        <f t="shared" ca="1" si="13"/>
        <v>1</v>
      </c>
      <c r="P96" s="15">
        <f ca="1">(Table2[[#This Row],[TODAY]]-Table2[[#This Row],[Date of Joining]])</f>
        <v>3231</v>
      </c>
      <c r="Q96" s="15">
        <f>VLOOKUP(A96,Table2[[#All],[Employee ID]:[Salary]],5,FALSE)</f>
        <v>78330</v>
      </c>
      <c r="R96" s="15">
        <f t="shared" si="14"/>
        <v>78330</v>
      </c>
    </row>
    <row r="97" spans="1:18" x14ac:dyDescent="0.3">
      <c r="A97" s="4" t="s">
        <v>103</v>
      </c>
      <c r="B97" s="1" t="s">
        <v>159</v>
      </c>
      <c r="C97" s="1" t="s">
        <v>165</v>
      </c>
      <c r="D97" s="1" t="s">
        <v>174</v>
      </c>
      <c r="E97" s="1">
        <v>96101</v>
      </c>
      <c r="F97" s="2">
        <v>42673</v>
      </c>
      <c r="G97" s="1"/>
      <c r="H97" s="1" t="s">
        <v>176</v>
      </c>
      <c r="I97" s="3" t="s">
        <v>251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10"/>
        <v>46023</v>
      </c>
      <c r="M97" s="24">
        <f t="shared" ca="1" si="11"/>
        <v>46023.558386689816</v>
      </c>
      <c r="N97" s="15">
        <f t="shared" ca="1" si="12"/>
        <v>1</v>
      </c>
      <c r="O97" s="15">
        <f t="shared" ca="1" si="13"/>
        <v>1</v>
      </c>
      <c r="P97" s="15">
        <f ca="1">(Table2[[#This Row],[TODAY]]-Table2[[#This Row],[Date of Joining]])</f>
        <v>3350</v>
      </c>
      <c r="Q97" s="15">
        <f>VLOOKUP(A97,Table2[[#All],[Employee ID]:[Salary]],5,FALSE)</f>
        <v>96101</v>
      </c>
      <c r="R97" s="15">
        <f t="shared" si="14"/>
        <v>96101</v>
      </c>
    </row>
    <row r="98" spans="1:18" x14ac:dyDescent="0.3">
      <c r="A98" s="4" t="s">
        <v>26</v>
      </c>
      <c r="B98" s="1" t="s">
        <v>159</v>
      </c>
      <c r="C98" s="1" t="s">
        <v>165</v>
      </c>
      <c r="D98" s="1" t="s">
        <v>173</v>
      </c>
      <c r="E98" s="1">
        <v>73602</v>
      </c>
      <c r="F98" s="2">
        <v>42134</v>
      </c>
      <c r="G98" s="1"/>
      <c r="H98" s="1" t="s">
        <v>178</v>
      </c>
      <c r="I98" s="3" t="s">
        <v>195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5">TODAY()</f>
        <v>46023</v>
      </c>
      <c r="M98" s="24">
        <f t="shared" ref="M98:M129" ca="1" si="16">NOW()</f>
        <v>46023.558386689816</v>
      </c>
      <c r="N98" s="15">
        <f t="shared" ref="N98:N129" ca="1" si="17">MONTH(M98)</f>
        <v>1</v>
      </c>
      <c r="O98" s="15">
        <f t="shared" ref="O98:O129" ca="1" si="18">N107</f>
        <v>1</v>
      </c>
      <c r="P98" s="15">
        <f ca="1">(Table2[[#This Row],[TODAY]]-Table2[[#This Row],[Date of Joining]])</f>
        <v>3889</v>
      </c>
      <c r="Q98" s="15">
        <f>VLOOKUP(A98,Table2[[#All],[Employee ID]:[Salary]],5,FALSE)</f>
        <v>73602</v>
      </c>
      <c r="R98" s="15">
        <f t="shared" ref="R98:R129" si="19">INDEX($E$2:$E$151, MATCH(A98, $A$2:$A$151, 0))</f>
        <v>73602</v>
      </c>
    </row>
    <row r="99" spans="1:18" x14ac:dyDescent="0.3">
      <c r="A99" s="4" t="s">
        <v>8</v>
      </c>
      <c r="B99" s="16" t="s">
        <v>175</v>
      </c>
      <c r="C99" s="1" t="s">
        <v>165</v>
      </c>
      <c r="D99" s="16" t="s">
        <v>175</v>
      </c>
      <c r="E99" s="16" t="s">
        <v>175</v>
      </c>
      <c r="F99" s="16" t="s">
        <v>175</v>
      </c>
      <c r="G99" s="1">
        <v>2</v>
      </c>
      <c r="H99" s="16" t="s">
        <v>175</v>
      </c>
      <c r="I99" s="3" t="s">
        <v>179</v>
      </c>
      <c r="J99" s="13">
        <f>IF(G99="",AVERAGEIF(Table2[Department],C99,Table2[Performance Rating]),G99)</f>
        <v>2</v>
      </c>
      <c r="K99" s="26" t="s">
        <v>175</v>
      </c>
      <c r="L99" s="23">
        <f t="shared" ca="1" si="15"/>
        <v>46023</v>
      </c>
      <c r="M99" s="24">
        <f t="shared" ca="1" si="16"/>
        <v>46023.558386689816</v>
      </c>
      <c r="N99" s="15">
        <f t="shared" ca="1" si="17"/>
        <v>1</v>
      </c>
      <c r="O99" s="15">
        <f t="shared" ca="1" si="18"/>
        <v>1</v>
      </c>
      <c r="P99" s="26" t="s">
        <v>288</v>
      </c>
      <c r="Q99" s="15" t="str">
        <f>VLOOKUP(A99,Table2[[#All],[Employee ID]:[Salary]],5,FALSE)</f>
        <v>Unknown</v>
      </c>
      <c r="R99" s="15" t="str">
        <f t="shared" si="19"/>
        <v>Unknown</v>
      </c>
    </row>
    <row r="100" spans="1:18" x14ac:dyDescent="0.3">
      <c r="A100" s="4" t="s">
        <v>58</v>
      </c>
      <c r="B100" s="1" t="s">
        <v>163</v>
      </c>
      <c r="C100" s="16" t="s">
        <v>175</v>
      </c>
      <c r="D100" s="16" t="s">
        <v>175</v>
      </c>
      <c r="E100" s="1">
        <v>30686</v>
      </c>
      <c r="F100" s="16" t="s">
        <v>175</v>
      </c>
      <c r="G100" s="1">
        <v>2</v>
      </c>
      <c r="H100" s="1" t="s">
        <v>178</v>
      </c>
      <c r="I100" s="3" t="s">
        <v>223</v>
      </c>
      <c r="J100" s="13">
        <f>IF(G100="",AVERAGEIF(Table2[Department],C100,Table2[Performance Rating]),G100)</f>
        <v>2</v>
      </c>
      <c r="K100" s="26" t="s">
        <v>175</v>
      </c>
      <c r="L100" s="23">
        <f t="shared" ca="1" si="15"/>
        <v>46023</v>
      </c>
      <c r="M100" s="24">
        <f t="shared" ca="1" si="16"/>
        <v>46023.558386689816</v>
      </c>
      <c r="N100" s="15">
        <f t="shared" ca="1" si="17"/>
        <v>1</v>
      </c>
      <c r="O100" s="15">
        <f t="shared" ca="1" si="18"/>
        <v>1</v>
      </c>
      <c r="P100" s="26" t="s">
        <v>288</v>
      </c>
      <c r="Q100" s="15">
        <f>VLOOKUP(A100,Table2[[#All],[Employee ID]:[Salary]],5,FALSE)</f>
        <v>30686</v>
      </c>
      <c r="R100" s="15">
        <f t="shared" si="19"/>
        <v>30686</v>
      </c>
    </row>
    <row r="101" spans="1:18" x14ac:dyDescent="0.3">
      <c r="A101" s="4" t="s">
        <v>118</v>
      </c>
      <c r="B101" s="1" t="s">
        <v>163</v>
      </c>
      <c r="C101" s="1" t="s">
        <v>167</v>
      </c>
      <c r="D101" s="1" t="s">
        <v>172</v>
      </c>
      <c r="E101" s="1">
        <v>31293</v>
      </c>
      <c r="F101" s="16" t="s">
        <v>175</v>
      </c>
      <c r="G101" s="1">
        <v>2</v>
      </c>
      <c r="H101" s="1" t="s">
        <v>178</v>
      </c>
      <c r="I101" s="3" t="s">
        <v>261</v>
      </c>
      <c r="J101" s="13">
        <f>IF(G101="",AVERAGEIF(Table2[Department],C101,Table2[Performance Rating]),G101)</f>
        <v>2</v>
      </c>
      <c r="K101" s="26" t="s">
        <v>175</v>
      </c>
      <c r="L101" s="23">
        <f t="shared" ca="1" si="15"/>
        <v>46023</v>
      </c>
      <c r="M101" s="24">
        <f t="shared" ca="1" si="16"/>
        <v>46023.558386689816</v>
      </c>
      <c r="N101" s="15">
        <f t="shared" ca="1" si="17"/>
        <v>1</v>
      </c>
      <c r="O101" s="15">
        <f t="shared" ca="1" si="18"/>
        <v>1</v>
      </c>
      <c r="P101" s="26" t="s">
        <v>288</v>
      </c>
      <c r="Q101" s="15">
        <f>VLOOKUP(A101,Table2[[#All],[Employee ID]:[Salary]],5,FALSE)</f>
        <v>31293</v>
      </c>
      <c r="R101" s="15">
        <f t="shared" si="19"/>
        <v>31293</v>
      </c>
    </row>
    <row r="102" spans="1:18" x14ac:dyDescent="0.3">
      <c r="A102" s="4" t="s">
        <v>115</v>
      </c>
      <c r="B102" s="1" t="s">
        <v>162</v>
      </c>
      <c r="C102" s="1" t="s">
        <v>169</v>
      </c>
      <c r="D102" s="1" t="s">
        <v>174</v>
      </c>
      <c r="E102" s="1">
        <v>86412</v>
      </c>
      <c r="F102" s="2">
        <v>42757</v>
      </c>
      <c r="G102" s="1">
        <v>2</v>
      </c>
      <c r="H102" s="1" t="s">
        <v>178</v>
      </c>
      <c r="I102" s="3" t="s">
        <v>199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5"/>
        <v>46023</v>
      </c>
      <c r="M102" s="24">
        <f t="shared" ca="1" si="16"/>
        <v>46023.558386689816</v>
      </c>
      <c r="N102" s="15">
        <f t="shared" ca="1" si="17"/>
        <v>1</v>
      </c>
      <c r="O102" s="15">
        <f t="shared" ca="1" si="18"/>
        <v>1</v>
      </c>
      <c r="P102" s="15">
        <f ca="1">(Table2[[#This Row],[TODAY]]-Table2[[#This Row],[Date of Joining]])</f>
        <v>3266</v>
      </c>
      <c r="Q102" s="15">
        <f>VLOOKUP(A102,Table2[[#All],[Employee ID]:[Salary]],5,FALSE)</f>
        <v>86412</v>
      </c>
      <c r="R102" s="15">
        <f t="shared" si="19"/>
        <v>86412</v>
      </c>
    </row>
    <row r="103" spans="1:18" x14ac:dyDescent="0.3">
      <c r="A103" s="4" t="s">
        <v>129</v>
      </c>
      <c r="B103" s="1" t="s">
        <v>163</v>
      </c>
      <c r="C103" s="1" t="s">
        <v>167</v>
      </c>
      <c r="D103" s="1" t="s">
        <v>171</v>
      </c>
      <c r="E103" s="1">
        <v>45676</v>
      </c>
      <c r="F103" s="2">
        <v>42855</v>
      </c>
      <c r="G103" s="1">
        <v>2</v>
      </c>
      <c r="H103" s="1" t="s">
        <v>177</v>
      </c>
      <c r="I103" s="3" t="s">
        <v>266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5"/>
        <v>46023</v>
      </c>
      <c r="M103" s="24">
        <f t="shared" ca="1" si="16"/>
        <v>46023.558386689816</v>
      </c>
      <c r="N103" s="15">
        <f t="shared" ca="1" si="17"/>
        <v>1</v>
      </c>
      <c r="O103" s="15">
        <f t="shared" ca="1" si="18"/>
        <v>1</v>
      </c>
      <c r="P103" s="15">
        <f ca="1">(Table2[[#This Row],[TODAY]]-Table2[[#This Row],[Date of Joining]])</f>
        <v>3168</v>
      </c>
      <c r="Q103" s="15">
        <f>VLOOKUP(A103,Table2[[#All],[Employee ID]:[Salary]],5,FALSE)</f>
        <v>45676</v>
      </c>
      <c r="R103" s="15">
        <f t="shared" si="19"/>
        <v>45676</v>
      </c>
    </row>
    <row r="104" spans="1:18" x14ac:dyDescent="0.3">
      <c r="A104" s="4" t="s">
        <v>135</v>
      </c>
      <c r="B104" s="1" t="s">
        <v>160</v>
      </c>
      <c r="C104" s="1" t="s">
        <v>165</v>
      </c>
      <c r="D104" s="1" t="s">
        <v>171</v>
      </c>
      <c r="E104" s="1">
        <v>91953</v>
      </c>
      <c r="F104" s="2">
        <v>42897</v>
      </c>
      <c r="G104" s="1">
        <v>2</v>
      </c>
      <c r="H104" s="1" t="s">
        <v>177</v>
      </c>
      <c r="I104" s="3" t="s">
        <v>206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5"/>
        <v>46023</v>
      </c>
      <c r="M104" s="24">
        <f t="shared" ca="1" si="16"/>
        <v>46023.558386689816</v>
      </c>
      <c r="N104" s="15">
        <f t="shared" ca="1" si="17"/>
        <v>1</v>
      </c>
      <c r="O104" s="15">
        <f t="shared" ca="1" si="18"/>
        <v>1</v>
      </c>
      <c r="P104" s="15">
        <f ca="1">(Table2[[#This Row],[TODAY]]-Table2[[#This Row],[Date of Joining]])</f>
        <v>3126</v>
      </c>
      <c r="Q104" s="15">
        <f>VLOOKUP(A104,Table2[[#All],[Employee ID]:[Salary]],5,FALSE)</f>
        <v>91953</v>
      </c>
      <c r="R104" s="15">
        <f t="shared" si="19"/>
        <v>91953</v>
      </c>
    </row>
    <row r="105" spans="1:18" x14ac:dyDescent="0.3">
      <c r="A105" s="4" t="s">
        <v>147</v>
      </c>
      <c r="B105" s="1" t="s">
        <v>164</v>
      </c>
      <c r="C105" s="1" t="s">
        <v>168</v>
      </c>
      <c r="D105" s="16" t="s">
        <v>175</v>
      </c>
      <c r="E105" s="1">
        <v>73348</v>
      </c>
      <c r="F105" s="2">
        <v>42981</v>
      </c>
      <c r="G105" s="1">
        <v>2</v>
      </c>
      <c r="H105" s="1" t="s">
        <v>177</v>
      </c>
      <c r="I105" s="3" t="s">
        <v>240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5"/>
        <v>46023</v>
      </c>
      <c r="M105" s="24">
        <f t="shared" ca="1" si="16"/>
        <v>46023.558386689816</v>
      </c>
      <c r="N105" s="15">
        <f t="shared" ca="1" si="17"/>
        <v>1</v>
      </c>
      <c r="O105" s="15">
        <f t="shared" ca="1" si="18"/>
        <v>1</v>
      </c>
      <c r="P105" s="15">
        <f ca="1">(Table2[[#This Row],[TODAY]]-Table2[[#This Row],[Date of Joining]])</f>
        <v>3042</v>
      </c>
      <c r="Q105" s="15">
        <f>VLOOKUP(A105,Table2[[#All],[Employee ID]:[Salary]],5,FALSE)</f>
        <v>73348</v>
      </c>
      <c r="R105" s="15">
        <f t="shared" si="19"/>
        <v>73348</v>
      </c>
    </row>
    <row r="106" spans="1:18" x14ac:dyDescent="0.3">
      <c r="A106" s="4" t="s">
        <v>152</v>
      </c>
      <c r="B106" s="1" t="s">
        <v>158</v>
      </c>
      <c r="C106" s="16" t="s">
        <v>175</v>
      </c>
      <c r="D106" s="16" t="s">
        <v>175</v>
      </c>
      <c r="E106" s="1">
        <v>94148</v>
      </c>
      <c r="F106" s="2">
        <v>43016</v>
      </c>
      <c r="G106" s="1">
        <v>2</v>
      </c>
      <c r="H106" s="1" t="s">
        <v>178</v>
      </c>
      <c r="I106" s="3" t="s">
        <v>275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5"/>
        <v>46023</v>
      </c>
      <c r="M106" s="24">
        <f t="shared" ca="1" si="16"/>
        <v>46023.558386689816</v>
      </c>
      <c r="N106" s="15">
        <f t="shared" ca="1" si="17"/>
        <v>1</v>
      </c>
      <c r="O106" s="15">
        <f t="shared" ca="1" si="18"/>
        <v>1</v>
      </c>
      <c r="P106" s="15">
        <f ca="1">(Table2[[#This Row],[TODAY]]-Table2[[#This Row],[Date of Joining]])</f>
        <v>3007</v>
      </c>
      <c r="Q106" s="15">
        <f>VLOOKUP(A106,Table2[[#All],[Employee ID]:[Salary]],5,FALSE)</f>
        <v>94148</v>
      </c>
      <c r="R106" s="15">
        <f t="shared" si="19"/>
        <v>94148</v>
      </c>
    </row>
    <row r="107" spans="1:18" x14ac:dyDescent="0.3">
      <c r="A107" s="4" t="s">
        <v>154</v>
      </c>
      <c r="B107" s="1" t="s">
        <v>160</v>
      </c>
      <c r="C107" s="1" t="s">
        <v>169</v>
      </c>
      <c r="D107" s="1" t="s">
        <v>171</v>
      </c>
      <c r="E107" s="1">
        <v>57141</v>
      </c>
      <c r="F107" s="2">
        <v>43030</v>
      </c>
      <c r="G107" s="1">
        <v>2</v>
      </c>
      <c r="H107" s="1" t="s">
        <v>177</v>
      </c>
      <c r="I107" s="3" t="s">
        <v>273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5"/>
        <v>46023</v>
      </c>
      <c r="M107" s="24">
        <f t="shared" ca="1" si="16"/>
        <v>46023.558386689816</v>
      </c>
      <c r="N107" s="15">
        <f t="shared" ca="1" si="17"/>
        <v>1</v>
      </c>
      <c r="O107" s="15">
        <f t="shared" ca="1" si="18"/>
        <v>1</v>
      </c>
      <c r="P107" s="15">
        <f ca="1">(Table2[[#This Row],[TODAY]]-Table2[[#This Row],[Date of Joining]])</f>
        <v>2993</v>
      </c>
      <c r="Q107" s="15">
        <f>VLOOKUP(A107,Table2[[#All],[Employee ID]:[Salary]],5,FALSE)</f>
        <v>57141</v>
      </c>
      <c r="R107" s="15">
        <f t="shared" si="19"/>
        <v>57141</v>
      </c>
    </row>
    <row r="108" spans="1:18" x14ac:dyDescent="0.3">
      <c r="A108" s="4" t="s">
        <v>69</v>
      </c>
      <c r="B108" s="1" t="s">
        <v>158</v>
      </c>
      <c r="C108" s="16" t="s">
        <v>175</v>
      </c>
      <c r="D108" s="1" t="s">
        <v>174</v>
      </c>
      <c r="E108" s="1">
        <v>31499</v>
      </c>
      <c r="F108" s="2">
        <v>42435</v>
      </c>
      <c r="G108" s="1">
        <v>2</v>
      </c>
      <c r="H108" s="1" t="s">
        <v>178</v>
      </c>
      <c r="I108" s="3" t="s">
        <v>212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5"/>
        <v>46023</v>
      </c>
      <c r="M108" s="24">
        <f t="shared" ca="1" si="16"/>
        <v>46023.558386689816</v>
      </c>
      <c r="N108" s="15">
        <f t="shared" ca="1" si="17"/>
        <v>1</v>
      </c>
      <c r="O108" s="15">
        <f t="shared" ca="1" si="18"/>
        <v>1</v>
      </c>
      <c r="P108" s="15">
        <f ca="1">(Table2[[#This Row],[TODAY]]-Table2[[#This Row],[Date of Joining]])</f>
        <v>3588</v>
      </c>
      <c r="Q108" s="15">
        <f>VLOOKUP(A108,Table2[[#All],[Employee ID]:[Salary]],5,FALSE)</f>
        <v>31499</v>
      </c>
      <c r="R108" s="15">
        <f t="shared" si="19"/>
        <v>31499</v>
      </c>
    </row>
    <row r="109" spans="1:18" x14ac:dyDescent="0.3">
      <c r="A109" s="4" t="s">
        <v>71</v>
      </c>
      <c r="B109" s="1" t="s">
        <v>158</v>
      </c>
      <c r="C109" s="1" t="s">
        <v>166</v>
      </c>
      <c r="D109" s="1" t="s">
        <v>171</v>
      </c>
      <c r="E109" s="1">
        <v>36541</v>
      </c>
      <c r="F109" s="2">
        <v>42449</v>
      </c>
      <c r="G109" s="1">
        <v>2</v>
      </c>
      <c r="H109" s="1" t="s">
        <v>176</v>
      </c>
      <c r="I109" s="3" t="s">
        <v>232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5"/>
        <v>46023</v>
      </c>
      <c r="M109" s="24">
        <f t="shared" ca="1" si="16"/>
        <v>46023.558386689816</v>
      </c>
      <c r="N109" s="15">
        <f t="shared" ca="1" si="17"/>
        <v>1</v>
      </c>
      <c r="O109" s="15">
        <f t="shared" ca="1" si="18"/>
        <v>1</v>
      </c>
      <c r="P109" s="15">
        <f ca="1">(Table2[[#This Row],[TODAY]]-Table2[[#This Row],[Date of Joining]])</f>
        <v>3574</v>
      </c>
      <c r="Q109" s="15">
        <f>VLOOKUP(A109,Table2[[#All],[Employee ID]:[Salary]],5,FALSE)</f>
        <v>36541</v>
      </c>
      <c r="R109" s="15">
        <f t="shared" si="19"/>
        <v>36541</v>
      </c>
    </row>
    <row r="110" spans="1:18" x14ac:dyDescent="0.3">
      <c r="A110" s="4" t="s">
        <v>76</v>
      </c>
      <c r="B110" s="1" t="s">
        <v>162</v>
      </c>
      <c r="C110" s="1" t="s">
        <v>165</v>
      </c>
      <c r="D110" s="1" t="s">
        <v>173</v>
      </c>
      <c r="E110" s="1">
        <v>41467</v>
      </c>
      <c r="F110" s="2">
        <v>42484</v>
      </c>
      <c r="G110" s="1">
        <v>2</v>
      </c>
      <c r="H110" s="1" t="s">
        <v>177</v>
      </c>
      <c r="I110" s="3" t="s">
        <v>198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5"/>
        <v>46023</v>
      </c>
      <c r="M110" s="24">
        <f t="shared" ca="1" si="16"/>
        <v>46023.558386689816</v>
      </c>
      <c r="N110" s="15">
        <f t="shared" ca="1" si="17"/>
        <v>1</v>
      </c>
      <c r="O110" s="15">
        <f t="shared" ca="1" si="18"/>
        <v>1</v>
      </c>
      <c r="P110" s="15">
        <f ca="1">(Table2[[#This Row],[TODAY]]-Table2[[#This Row],[Date of Joining]])</f>
        <v>3539</v>
      </c>
      <c r="Q110" s="15">
        <f>VLOOKUP(A110,Table2[[#All],[Employee ID]:[Salary]],5,FALSE)</f>
        <v>41467</v>
      </c>
      <c r="R110" s="15">
        <f t="shared" si="19"/>
        <v>41467</v>
      </c>
    </row>
    <row r="111" spans="1:18" x14ac:dyDescent="0.3">
      <c r="A111" s="4" t="s">
        <v>86</v>
      </c>
      <c r="B111" s="1" t="s">
        <v>162</v>
      </c>
      <c r="C111" s="16" t="s">
        <v>175</v>
      </c>
      <c r="D111" s="1" t="s">
        <v>173</v>
      </c>
      <c r="E111" s="1">
        <v>78245</v>
      </c>
      <c r="F111" s="2">
        <v>42554</v>
      </c>
      <c r="G111" s="1">
        <v>2</v>
      </c>
      <c r="H111" s="1" t="s">
        <v>177</v>
      </c>
      <c r="I111" s="3" t="s">
        <v>241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5"/>
        <v>46023</v>
      </c>
      <c r="M111" s="24">
        <f t="shared" ca="1" si="16"/>
        <v>46023.558386689816</v>
      </c>
      <c r="N111" s="15">
        <f t="shared" ca="1" si="17"/>
        <v>1</v>
      </c>
      <c r="O111" s="15">
        <f t="shared" ca="1" si="18"/>
        <v>1</v>
      </c>
      <c r="P111" s="15">
        <f ca="1">(Table2[[#This Row],[TODAY]]-Table2[[#This Row],[Date of Joining]])</f>
        <v>3469</v>
      </c>
      <c r="Q111" s="15">
        <f>VLOOKUP(A111,Table2[[#All],[Employee ID]:[Salary]],5,FALSE)</f>
        <v>78245</v>
      </c>
      <c r="R111" s="15">
        <f t="shared" si="19"/>
        <v>78245</v>
      </c>
    </row>
    <row r="112" spans="1:18" x14ac:dyDescent="0.3">
      <c r="A112" s="4" t="s">
        <v>87</v>
      </c>
      <c r="B112" s="1" t="s">
        <v>163</v>
      </c>
      <c r="C112" s="1" t="s">
        <v>167</v>
      </c>
      <c r="D112" s="1" t="s">
        <v>171</v>
      </c>
      <c r="E112" s="1">
        <v>66079</v>
      </c>
      <c r="F112" s="2">
        <v>42561</v>
      </c>
      <c r="G112" s="1">
        <v>2</v>
      </c>
      <c r="H112" s="1" t="s">
        <v>176</v>
      </c>
      <c r="I112" s="3" t="s">
        <v>242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5"/>
        <v>46023</v>
      </c>
      <c r="M112" s="24">
        <f t="shared" ca="1" si="16"/>
        <v>46023.558386689816</v>
      </c>
      <c r="N112" s="15">
        <f t="shared" ca="1" si="17"/>
        <v>1</v>
      </c>
      <c r="O112" s="15">
        <f t="shared" ca="1" si="18"/>
        <v>1</v>
      </c>
      <c r="P112" s="15">
        <f ca="1">(Table2[[#This Row],[TODAY]]-Table2[[#This Row],[Date of Joining]])</f>
        <v>3462</v>
      </c>
      <c r="Q112" s="15">
        <f>VLOOKUP(A112,Table2[[#All],[Employee ID]:[Salary]],5,FALSE)</f>
        <v>66079</v>
      </c>
      <c r="R112" s="15">
        <f t="shared" si="19"/>
        <v>66079</v>
      </c>
    </row>
    <row r="113" spans="1:18" x14ac:dyDescent="0.3">
      <c r="A113" s="4" t="s">
        <v>108</v>
      </c>
      <c r="B113" s="1" t="s">
        <v>164</v>
      </c>
      <c r="C113" s="1" t="s">
        <v>169</v>
      </c>
      <c r="D113" s="16" t="s">
        <v>175</v>
      </c>
      <c r="E113" s="16" t="s">
        <v>175</v>
      </c>
      <c r="F113" s="2">
        <v>42708</v>
      </c>
      <c r="G113" s="1">
        <v>2</v>
      </c>
      <c r="H113" s="1" t="s">
        <v>176</v>
      </c>
      <c r="I113" s="3" t="s">
        <v>256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5"/>
        <v>46023</v>
      </c>
      <c r="M113" s="24">
        <f t="shared" ca="1" si="16"/>
        <v>46023.558386689816</v>
      </c>
      <c r="N113" s="15">
        <f t="shared" ca="1" si="17"/>
        <v>1</v>
      </c>
      <c r="O113" s="15">
        <f t="shared" ca="1" si="18"/>
        <v>1</v>
      </c>
      <c r="P113" s="15">
        <f ca="1">(Table2[[#This Row],[TODAY]]-Table2[[#This Row],[Date of Joining]])</f>
        <v>3315</v>
      </c>
      <c r="Q113" s="15" t="str">
        <f>VLOOKUP(A113,Table2[[#All],[Employee ID]:[Salary]],5,FALSE)</f>
        <v>Unknown</v>
      </c>
      <c r="R113" s="15" t="str">
        <f t="shared" si="19"/>
        <v>Unknown</v>
      </c>
    </row>
    <row r="114" spans="1:18" x14ac:dyDescent="0.3">
      <c r="A114" s="4" t="s">
        <v>10</v>
      </c>
      <c r="B114" s="1" t="s">
        <v>159</v>
      </c>
      <c r="C114" s="1" t="s">
        <v>165</v>
      </c>
      <c r="D114" s="1" t="s">
        <v>170</v>
      </c>
      <c r="E114" s="1">
        <v>63184</v>
      </c>
      <c r="F114" s="2">
        <v>42022</v>
      </c>
      <c r="G114" s="1">
        <v>2</v>
      </c>
      <c r="H114" s="1" t="s">
        <v>178</v>
      </c>
      <c r="I114" s="3" t="s">
        <v>181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5"/>
        <v>46023</v>
      </c>
      <c r="M114" s="24">
        <f t="shared" ca="1" si="16"/>
        <v>46023.558386689816</v>
      </c>
      <c r="N114" s="15">
        <f t="shared" ca="1" si="17"/>
        <v>1</v>
      </c>
      <c r="O114" s="15">
        <f t="shared" ca="1" si="18"/>
        <v>1</v>
      </c>
      <c r="P114" s="15">
        <f ca="1">(Table2[[#This Row],[TODAY]]-Table2[[#This Row],[Date of Joining]])</f>
        <v>4001</v>
      </c>
      <c r="Q114" s="15">
        <f>VLOOKUP(A114,Table2[[#All],[Employee ID]:[Salary]],5,FALSE)</f>
        <v>63184</v>
      </c>
      <c r="R114" s="15">
        <f t="shared" si="19"/>
        <v>63184</v>
      </c>
    </row>
    <row r="115" spans="1:18" x14ac:dyDescent="0.3">
      <c r="A115" s="4" t="s">
        <v>13</v>
      </c>
      <c r="B115" s="1" t="s">
        <v>159</v>
      </c>
      <c r="C115" s="1" t="s">
        <v>168</v>
      </c>
      <c r="D115" s="1" t="s">
        <v>172</v>
      </c>
      <c r="E115" s="1">
        <v>78421</v>
      </c>
      <c r="F115" s="2">
        <v>42043</v>
      </c>
      <c r="G115" s="1">
        <v>2</v>
      </c>
      <c r="H115" s="1" t="s">
        <v>178</v>
      </c>
      <c r="I115" s="3" t="s">
        <v>184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5"/>
        <v>46023</v>
      </c>
      <c r="M115" s="24">
        <f t="shared" ca="1" si="16"/>
        <v>46023.558386689816</v>
      </c>
      <c r="N115" s="15">
        <f t="shared" ca="1" si="17"/>
        <v>1</v>
      </c>
      <c r="O115" s="15">
        <f t="shared" ca="1" si="18"/>
        <v>1</v>
      </c>
      <c r="P115" s="15">
        <f ca="1">(Table2[[#This Row],[TODAY]]-Table2[[#This Row],[Date of Joining]])</f>
        <v>3980</v>
      </c>
      <c r="Q115" s="15">
        <f>VLOOKUP(A115,Table2[[#All],[Employee ID]:[Salary]],5,FALSE)</f>
        <v>78421</v>
      </c>
      <c r="R115" s="15">
        <f t="shared" si="19"/>
        <v>78421</v>
      </c>
    </row>
    <row r="116" spans="1:18" x14ac:dyDescent="0.3">
      <c r="A116" s="4" t="s">
        <v>15</v>
      </c>
      <c r="B116" s="1" t="s">
        <v>163</v>
      </c>
      <c r="C116" s="1" t="s">
        <v>169</v>
      </c>
      <c r="D116" s="16" t="s">
        <v>175</v>
      </c>
      <c r="E116" s="1">
        <v>35364</v>
      </c>
      <c r="F116" s="2">
        <v>42057</v>
      </c>
      <c r="G116" s="1">
        <v>2</v>
      </c>
      <c r="H116" s="1" t="s">
        <v>176</v>
      </c>
      <c r="I116" s="3" t="s">
        <v>185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5"/>
        <v>46023</v>
      </c>
      <c r="M116" s="24">
        <f t="shared" ca="1" si="16"/>
        <v>46023.558386689816</v>
      </c>
      <c r="N116" s="15">
        <f t="shared" ca="1" si="17"/>
        <v>1</v>
      </c>
      <c r="O116" s="15">
        <f t="shared" ca="1" si="18"/>
        <v>1</v>
      </c>
      <c r="P116" s="15">
        <f ca="1">(Table2[[#This Row],[TODAY]]-Table2[[#This Row],[Date of Joining]])</f>
        <v>3966</v>
      </c>
      <c r="Q116" s="15">
        <f>VLOOKUP(A116,Table2[[#All],[Employee ID]:[Salary]],5,FALSE)</f>
        <v>35364</v>
      </c>
      <c r="R116" s="15">
        <f t="shared" si="19"/>
        <v>35364</v>
      </c>
    </row>
    <row r="117" spans="1:18" x14ac:dyDescent="0.3">
      <c r="A117" s="4" t="s">
        <v>22</v>
      </c>
      <c r="B117" s="1" t="s">
        <v>161</v>
      </c>
      <c r="C117" s="1" t="s">
        <v>166</v>
      </c>
      <c r="D117" s="16" t="s">
        <v>175</v>
      </c>
      <c r="E117" s="1">
        <v>59894</v>
      </c>
      <c r="F117" s="2">
        <v>42106</v>
      </c>
      <c r="G117" s="1">
        <v>2</v>
      </c>
      <c r="H117" s="1" t="s">
        <v>177</v>
      </c>
      <c r="I117" s="3" t="s">
        <v>191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5"/>
        <v>46023</v>
      </c>
      <c r="M117" s="24">
        <f t="shared" ca="1" si="16"/>
        <v>46023.558386689816</v>
      </c>
      <c r="N117" s="15">
        <f t="shared" ca="1" si="17"/>
        <v>1</v>
      </c>
      <c r="O117" s="15">
        <f t="shared" ca="1" si="18"/>
        <v>1</v>
      </c>
      <c r="P117" s="15">
        <f ca="1">(Table2[[#This Row],[TODAY]]-Table2[[#This Row],[Date of Joining]])</f>
        <v>3917</v>
      </c>
      <c r="Q117" s="15">
        <f>VLOOKUP(A117,Table2[[#All],[Employee ID]:[Salary]],5,FALSE)</f>
        <v>59894</v>
      </c>
      <c r="R117" s="15">
        <f t="shared" si="19"/>
        <v>59894</v>
      </c>
    </row>
    <row r="118" spans="1:18" x14ac:dyDescent="0.3">
      <c r="A118" s="4" t="s">
        <v>28</v>
      </c>
      <c r="B118" s="1" t="s">
        <v>161</v>
      </c>
      <c r="C118" s="1" t="s">
        <v>166</v>
      </c>
      <c r="D118" s="1" t="s">
        <v>171</v>
      </c>
      <c r="E118" s="16" t="s">
        <v>175</v>
      </c>
      <c r="F118" s="2">
        <v>42148</v>
      </c>
      <c r="G118" s="1">
        <v>2</v>
      </c>
      <c r="H118" s="1" t="s">
        <v>176</v>
      </c>
      <c r="I118" s="3" t="s">
        <v>197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5"/>
        <v>46023</v>
      </c>
      <c r="M118" s="24">
        <f t="shared" ca="1" si="16"/>
        <v>46023.558386689816</v>
      </c>
      <c r="N118" s="15">
        <f t="shared" ca="1" si="17"/>
        <v>1</v>
      </c>
      <c r="O118" s="15">
        <f t="shared" ca="1" si="18"/>
        <v>1</v>
      </c>
      <c r="P118" s="15">
        <f ca="1">(Table2[[#This Row],[TODAY]]-Table2[[#This Row],[Date of Joining]])</f>
        <v>3875</v>
      </c>
      <c r="Q118" s="15" t="str">
        <f>VLOOKUP(A118,Table2[[#All],[Employee ID]:[Salary]],5,FALSE)</f>
        <v>Unknown</v>
      </c>
      <c r="R118" s="15" t="str">
        <f t="shared" si="19"/>
        <v>Unknown</v>
      </c>
    </row>
    <row r="119" spans="1:18" x14ac:dyDescent="0.3">
      <c r="A119" s="4" t="s">
        <v>34</v>
      </c>
      <c r="B119" s="1" t="s">
        <v>158</v>
      </c>
      <c r="C119" s="1" t="s">
        <v>167</v>
      </c>
      <c r="D119" s="1" t="s">
        <v>170</v>
      </c>
      <c r="E119" s="1">
        <v>76518</v>
      </c>
      <c r="F119" s="2">
        <v>42190</v>
      </c>
      <c r="G119" s="1">
        <v>2</v>
      </c>
      <c r="H119" s="1" t="s">
        <v>178</v>
      </c>
      <c r="I119" s="3" t="s">
        <v>203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5"/>
        <v>46023</v>
      </c>
      <c r="M119" s="24">
        <f t="shared" ca="1" si="16"/>
        <v>46023.558386689816</v>
      </c>
      <c r="N119" s="15">
        <f t="shared" ca="1" si="17"/>
        <v>1</v>
      </c>
      <c r="O119" s="15">
        <f t="shared" ca="1" si="18"/>
        <v>1</v>
      </c>
      <c r="P119" s="15">
        <f ca="1">(Table2[[#This Row],[TODAY]]-Table2[[#This Row],[Date of Joining]])</f>
        <v>3833</v>
      </c>
      <c r="Q119" s="15">
        <f>VLOOKUP(A119,Table2[[#All],[Employee ID]:[Salary]],5,FALSE)</f>
        <v>76518</v>
      </c>
      <c r="R119" s="15">
        <f t="shared" si="19"/>
        <v>76518</v>
      </c>
    </row>
    <row r="120" spans="1:18" x14ac:dyDescent="0.3">
      <c r="A120" s="4" t="s">
        <v>36</v>
      </c>
      <c r="B120" s="1" t="s">
        <v>160</v>
      </c>
      <c r="C120" s="1" t="s">
        <v>166</v>
      </c>
      <c r="D120" s="1" t="s">
        <v>173</v>
      </c>
      <c r="E120" s="1">
        <v>49282</v>
      </c>
      <c r="F120" s="2">
        <v>42204</v>
      </c>
      <c r="G120" s="1">
        <v>2</v>
      </c>
      <c r="H120" s="1" t="s">
        <v>178</v>
      </c>
      <c r="I120" s="3" t="s">
        <v>205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5"/>
        <v>46023</v>
      </c>
      <c r="M120" s="24">
        <f t="shared" ca="1" si="16"/>
        <v>46023.558386689816</v>
      </c>
      <c r="N120" s="15">
        <f t="shared" ca="1" si="17"/>
        <v>1</v>
      </c>
      <c r="O120" s="15">
        <f t="shared" ca="1" si="18"/>
        <v>1</v>
      </c>
      <c r="P120" s="15">
        <f ca="1">(Table2[[#This Row],[TODAY]]-Table2[[#This Row],[Date of Joining]])</f>
        <v>3819</v>
      </c>
      <c r="Q120" s="15">
        <f>VLOOKUP(A120,Table2[[#All],[Employee ID]:[Salary]],5,FALSE)</f>
        <v>49282</v>
      </c>
      <c r="R120" s="15">
        <f t="shared" si="19"/>
        <v>49282</v>
      </c>
    </row>
    <row r="121" spans="1:18" x14ac:dyDescent="0.3">
      <c r="A121" s="4" t="s">
        <v>56</v>
      </c>
      <c r="B121" s="1" t="s">
        <v>160</v>
      </c>
      <c r="C121" s="1" t="s">
        <v>165</v>
      </c>
      <c r="D121" s="16" t="s">
        <v>175</v>
      </c>
      <c r="E121" s="1">
        <v>66513</v>
      </c>
      <c r="F121" s="2">
        <v>42344</v>
      </c>
      <c r="G121" s="1">
        <v>2</v>
      </c>
      <c r="H121" s="1" t="s">
        <v>176</v>
      </c>
      <c r="I121" s="3" t="s">
        <v>184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5"/>
        <v>46023</v>
      </c>
      <c r="M121" s="24">
        <f t="shared" ca="1" si="16"/>
        <v>46023.558386689816</v>
      </c>
      <c r="N121" s="15">
        <f t="shared" ca="1" si="17"/>
        <v>1</v>
      </c>
      <c r="O121" s="15">
        <f t="shared" ca="1" si="18"/>
        <v>1</v>
      </c>
      <c r="P121" s="15">
        <f ca="1">(Table2[[#This Row],[TODAY]]-Table2[[#This Row],[Date of Joining]])</f>
        <v>3679</v>
      </c>
      <c r="Q121" s="15">
        <f>VLOOKUP(A121,Table2[[#All],[Employee ID]:[Salary]],5,FALSE)</f>
        <v>66513</v>
      </c>
      <c r="R121" s="15">
        <f t="shared" si="19"/>
        <v>66513</v>
      </c>
    </row>
    <row r="122" spans="1:18" x14ac:dyDescent="0.3">
      <c r="A122" s="4" t="s">
        <v>38</v>
      </c>
      <c r="B122" s="16" t="s">
        <v>175</v>
      </c>
      <c r="C122" s="1" t="s">
        <v>169</v>
      </c>
      <c r="D122" s="16" t="s">
        <v>175</v>
      </c>
      <c r="E122" s="1">
        <v>92259</v>
      </c>
      <c r="F122" s="16" t="s">
        <v>175</v>
      </c>
      <c r="G122" s="1">
        <v>1</v>
      </c>
      <c r="H122" s="16" t="s">
        <v>175</v>
      </c>
      <c r="I122" s="3" t="s">
        <v>207</v>
      </c>
      <c r="J122" s="13">
        <f>IF(G122="",AVERAGEIF(Table2[Department],C122,Table2[Performance Rating]),G122)</f>
        <v>1</v>
      </c>
      <c r="K122" s="26" t="s">
        <v>175</v>
      </c>
      <c r="L122" s="23">
        <f t="shared" ca="1" si="15"/>
        <v>46023</v>
      </c>
      <c r="M122" s="24">
        <f t="shared" ca="1" si="16"/>
        <v>46023.558386689816</v>
      </c>
      <c r="N122" s="15">
        <f t="shared" ca="1" si="17"/>
        <v>1</v>
      </c>
      <c r="O122" s="15">
        <f t="shared" ca="1" si="18"/>
        <v>1</v>
      </c>
      <c r="P122" s="26" t="s">
        <v>288</v>
      </c>
      <c r="Q122" s="15">
        <f>VLOOKUP(A122,Table2[[#All],[Employee ID]:[Salary]],5,FALSE)</f>
        <v>92259</v>
      </c>
      <c r="R122" s="15">
        <f t="shared" si="19"/>
        <v>92259</v>
      </c>
    </row>
    <row r="123" spans="1:18" x14ac:dyDescent="0.3">
      <c r="A123" s="4" t="s">
        <v>112</v>
      </c>
      <c r="B123" s="1" t="s">
        <v>161</v>
      </c>
      <c r="C123" s="16" t="s">
        <v>175</v>
      </c>
      <c r="D123" s="1" t="s">
        <v>174</v>
      </c>
      <c r="E123" s="1">
        <v>61556</v>
      </c>
      <c r="F123" s="2">
        <v>42736</v>
      </c>
      <c r="G123" s="1">
        <v>1</v>
      </c>
      <c r="H123" s="1" t="s">
        <v>177</v>
      </c>
      <c r="I123" s="3" t="s">
        <v>256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5"/>
        <v>46023</v>
      </c>
      <c r="M123" s="24">
        <f t="shared" ca="1" si="16"/>
        <v>46023.558386689816</v>
      </c>
      <c r="N123" s="15">
        <f t="shared" ca="1" si="17"/>
        <v>1</v>
      </c>
      <c r="O123" s="15">
        <f t="shared" ca="1" si="18"/>
        <v>1</v>
      </c>
      <c r="P123" s="15">
        <f ca="1">(Table2[[#This Row],[TODAY]]-Table2[[#This Row],[Date of Joining]])</f>
        <v>3287</v>
      </c>
      <c r="Q123" s="15">
        <f>VLOOKUP(A123,Table2[[#All],[Employee ID]:[Salary]],5,FALSE)</f>
        <v>61556</v>
      </c>
      <c r="R123" s="15">
        <f t="shared" si="19"/>
        <v>61556</v>
      </c>
    </row>
    <row r="124" spans="1:18" x14ac:dyDescent="0.3">
      <c r="A124" s="4" t="s">
        <v>116</v>
      </c>
      <c r="B124" s="1" t="s">
        <v>162</v>
      </c>
      <c r="C124" s="1" t="s">
        <v>166</v>
      </c>
      <c r="D124" s="16" t="s">
        <v>175</v>
      </c>
      <c r="E124" s="1">
        <v>66761</v>
      </c>
      <c r="F124" s="2">
        <v>42764</v>
      </c>
      <c r="G124" s="1">
        <v>1</v>
      </c>
      <c r="H124" s="1" t="s">
        <v>177</v>
      </c>
      <c r="I124" s="3" t="s">
        <v>259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5"/>
        <v>46023</v>
      </c>
      <c r="M124" s="24">
        <f t="shared" ca="1" si="16"/>
        <v>46023.558386689816</v>
      </c>
      <c r="N124" s="15">
        <f t="shared" ca="1" si="17"/>
        <v>1</v>
      </c>
      <c r="O124" s="15">
        <f t="shared" ca="1" si="18"/>
        <v>1</v>
      </c>
      <c r="P124" s="15">
        <f ca="1">(Table2[[#This Row],[TODAY]]-Table2[[#This Row],[Date of Joining]])</f>
        <v>3259</v>
      </c>
      <c r="Q124" s="15">
        <f>VLOOKUP(A124,Table2[[#All],[Employee ID]:[Salary]],5,FALSE)</f>
        <v>66761</v>
      </c>
      <c r="R124" s="15">
        <f t="shared" si="19"/>
        <v>66761</v>
      </c>
    </row>
    <row r="125" spans="1:18" x14ac:dyDescent="0.3">
      <c r="A125" s="4" t="s">
        <v>117</v>
      </c>
      <c r="B125" s="1" t="s">
        <v>161</v>
      </c>
      <c r="C125" s="16" t="s">
        <v>175</v>
      </c>
      <c r="D125" s="1" t="s">
        <v>172</v>
      </c>
      <c r="E125" s="1">
        <v>88850</v>
      </c>
      <c r="F125" s="2">
        <v>42771</v>
      </c>
      <c r="G125" s="1">
        <v>1</v>
      </c>
      <c r="H125" s="1" t="s">
        <v>178</v>
      </c>
      <c r="I125" s="3" t="s">
        <v>260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5"/>
        <v>46023</v>
      </c>
      <c r="M125" s="24">
        <f t="shared" ca="1" si="16"/>
        <v>46023.558386689816</v>
      </c>
      <c r="N125" s="15">
        <f t="shared" ca="1" si="17"/>
        <v>1</v>
      </c>
      <c r="O125" s="15">
        <f t="shared" ca="1" si="18"/>
        <v>1</v>
      </c>
      <c r="P125" s="15">
        <f ca="1">(Table2[[#This Row],[TODAY]]-Table2[[#This Row],[Date of Joining]])</f>
        <v>3252</v>
      </c>
      <c r="Q125" s="15">
        <f>VLOOKUP(A125,Table2[[#All],[Employee ID]:[Salary]],5,FALSE)</f>
        <v>88850</v>
      </c>
      <c r="R125" s="15">
        <f t="shared" si="19"/>
        <v>88850</v>
      </c>
    </row>
    <row r="126" spans="1:18" x14ac:dyDescent="0.3">
      <c r="A126" s="4" t="s">
        <v>121</v>
      </c>
      <c r="B126" s="1" t="s">
        <v>159</v>
      </c>
      <c r="C126" s="1" t="s">
        <v>168</v>
      </c>
      <c r="D126" s="1" t="s">
        <v>171</v>
      </c>
      <c r="E126" s="1">
        <v>47653</v>
      </c>
      <c r="F126" s="2">
        <v>42799</v>
      </c>
      <c r="G126" s="1">
        <v>1</v>
      </c>
      <c r="H126" s="1" t="s">
        <v>177</v>
      </c>
      <c r="I126" s="3" t="s">
        <v>262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5"/>
        <v>46023</v>
      </c>
      <c r="M126" s="24">
        <f t="shared" ca="1" si="16"/>
        <v>46023.558386689816</v>
      </c>
      <c r="N126" s="15">
        <f t="shared" ca="1" si="17"/>
        <v>1</v>
      </c>
      <c r="O126" s="15">
        <f t="shared" ca="1" si="18"/>
        <v>1</v>
      </c>
      <c r="P126" s="15">
        <f ca="1">(Table2[[#This Row],[TODAY]]-Table2[[#This Row],[Date of Joining]])</f>
        <v>3224</v>
      </c>
      <c r="Q126" s="15">
        <f>VLOOKUP(A126,Table2[[#All],[Employee ID]:[Salary]],5,FALSE)</f>
        <v>47653</v>
      </c>
      <c r="R126" s="15">
        <f t="shared" si="19"/>
        <v>47653</v>
      </c>
    </row>
    <row r="127" spans="1:18" x14ac:dyDescent="0.3">
      <c r="A127" s="4" t="s">
        <v>125</v>
      </c>
      <c r="B127" s="1" t="s">
        <v>164</v>
      </c>
      <c r="C127" s="1" t="s">
        <v>169</v>
      </c>
      <c r="D127" s="16" t="s">
        <v>175</v>
      </c>
      <c r="E127" s="1">
        <v>73483</v>
      </c>
      <c r="F127" s="2">
        <v>42827</v>
      </c>
      <c r="G127" s="1">
        <v>1</v>
      </c>
      <c r="H127" s="1" t="s">
        <v>177</v>
      </c>
      <c r="I127" s="3" t="s">
        <v>263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5"/>
        <v>46023</v>
      </c>
      <c r="M127" s="24">
        <f t="shared" ca="1" si="16"/>
        <v>46023.558386689816</v>
      </c>
      <c r="N127" s="15">
        <f t="shared" ca="1" si="17"/>
        <v>1</v>
      </c>
      <c r="O127" s="15">
        <f t="shared" ca="1" si="18"/>
        <v>1</v>
      </c>
      <c r="P127" s="15">
        <f ca="1">(Table2[[#This Row],[TODAY]]-Table2[[#This Row],[Date of Joining]])</f>
        <v>3196</v>
      </c>
      <c r="Q127" s="15">
        <f>VLOOKUP(A127,Table2[[#All],[Employee ID]:[Salary]],5,FALSE)</f>
        <v>73483</v>
      </c>
      <c r="R127" s="15">
        <f t="shared" si="19"/>
        <v>73483</v>
      </c>
    </row>
    <row r="128" spans="1:18" x14ac:dyDescent="0.3">
      <c r="A128" s="4" t="s">
        <v>132</v>
      </c>
      <c r="B128" s="1" t="s">
        <v>160</v>
      </c>
      <c r="C128" s="1" t="s">
        <v>168</v>
      </c>
      <c r="D128" s="16" t="s">
        <v>175</v>
      </c>
      <c r="E128" s="1">
        <v>60034</v>
      </c>
      <c r="F128" s="2">
        <v>42876</v>
      </c>
      <c r="G128" s="1">
        <v>1</v>
      </c>
      <c r="H128" s="1" t="s">
        <v>178</v>
      </c>
      <c r="I128" s="3" t="s">
        <v>268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5"/>
        <v>46023</v>
      </c>
      <c r="M128" s="24">
        <f t="shared" ca="1" si="16"/>
        <v>46023.558386689816</v>
      </c>
      <c r="N128" s="15">
        <f t="shared" ca="1" si="17"/>
        <v>1</v>
      </c>
      <c r="O128" s="15">
        <f t="shared" ca="1" si="18"/>
        <v>1</v>
      </c>
      <c r="P128" s="15">
        <f ca="1">(Table2[[#This Row],[TODAY]]-Table2[[#This Row],[Date of Joining]])</f>
        <v>3147</v>
      </c>
      <c r="Q128" s="15">
        <f>VLOOKUP(A128,Table2[[#All],[Employee ID]:[Salary]],5,FALSE)</f>
        <v>60034</v>
      </c>
      <c r="R128" s="15">
        <f t="shared" si="19"/>
        <v>60034</v>
      </c>
    </row>
    <row r="129" spans="1:18" x14ac:dyDescent="0.3">
      <c r="A129" s="4" t="s">
        <v>136</v>
      </c>
      <c r="B129" s="1" t="s">
        <v>163</v>
      </c>
      <c r="C129" s="1" t="s">
        <v>167</v>
      </c>
      <c r="D129" s="1" t="s">
        <v>171</v>
      </c>
      <c r="E129" s="1">
        <v>30402</v>
      </c>
      <c r="F129" s="2">
        <v>42904</v>
      </c>
      <c r="G129" s="1">
        <v>1</v>
      </c>
      <c r="H129" s="1" t="s">
        <v>177</v>
      </c>
      <c r="I129" s="3" t="s">
        <v>271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5"/>
        <v>46023</v>
      </c>
      <c r="M129" s="24">
        <f t="shared" ca="1" si="16"/>
        <v>46023.558386689816</v>
      </c>
      <c r="N129" s="15">
        <f t="shared" ca="1" si="17"/>
        <v>1</v>
      </c>
      <c r="O129" s="15">
        <f t="shared" ca="1" si="18"/>
        <v>1</v>
      </c>
      <c r="P129" s="15">
        <f ca="1">(Table2[[#This Row],[TODAY]]-Table2[[#This Row],[Date of Joining]])</f>
        <v>3119</v>
      </c>
      <c r="Q129" s="15">
        <f>VLOOKUP(A129,Table2[[#All],[Employee ID]:[Salary]],5,FALSE)</f>
        <v>30402</v>
      </c>
      <c r="R129" s="15">
        <f t="shared" si="19"/>
        <v>30402</v>
      </c>
    </row>
    <row r="130" spans="1:18" x14ac:dyDescent="0.3">
      <c r="A130" s="4" t="s">
        <v>142</v>
      </c>
      <c r="B130" s="1" t="s">
        <v>158</v>
      </c>
      <c r="C130" s="1" t="s">
        <v>169</v>
      </c>
      <c r="D130" s="1" t="s">
        <v>172</v>
      </c>
      <c r="E130" s="1">
        <v>62476</v>
      </c>
      <c r="F130" s="2">
        <v>42946</v>
      </c>
      <c r="G130" s="1">
        <v>1</v>
      </c>
      <c r="H130" s="1" t="s">
        <v>176</v>
      </c>
      <c r="I130" s="3" t="s">
        <v>228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20">TODAY()</f>
        <v>46023</v>
      </c>
      <c r="M130" s="24">
        <f t="shared" ref="M130:M151" ca="1" si="21">NOW()</f>
        <v>46023.558386689816</v>
      </c>
      <c r="N130" s="15">
        <f t="shared" ref="N130:N151" ca="1" si="22">MONTH(M130)</f>
        <v>1</v>
      </c>
      <c r="O130" s="15">
        <f t="shared" ref="O130:O151" ca="1" si="23">N139</f>
        <v>1</v>
      </c>
      <c r="P130" s="15">
        <f ca="1">(Table2[[#This Row],[TODAY]]-Table2[[#This Row],[Date of Joining]])</f>
        <v>3077</v>
      </c>
      <c r="Q130" s="15">
        <f>VLOOKUP(A130,Table2[[#All],[Employee ID]:[Salary]],5,FALSE)</f>
        <v>62476</v>
      </c>
      <c r="R130" s="15">
        <f t="shared" ref="R130:R151" si="24">INDEX($E$2:$E$151, MATCH(A130, $A$2:$A$151, 0))</f>
        <v>62476</v>
      </c>
    </row>
    <row r="131" spans="1:18" x14ac:dyDescent="0.3">
      <c r="A131" s="4" t="s">
        <v>155</v>
      </c>
      <c r="B131" s="1" t="s">
        <v>164</v>
      </c>
      <c r="C131" s="1" t="s">
        <v>167</v>
      </c>
      <c r="D131" s="1" t="s">
        <v>174</v>
      </c>
      <c r="E131" s="1">
        <v>65270</v>
      </c>
      <c r="F131" s="2">
        <v>43037</v>
      </c>
      <c r="G131" s="1">
        <v>1</v>
      </c>
      <c r="H131" s="1" t="s">
        <v>177</v>
      </c>
      <c r="I131" s="3" t="s">
        <v>276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20"/>
        <v>46023</v>
      </c>
      <c r="M131" s="24">
        <f t="shared" ca="1" si="21"/>
        <v>46023.558386689816</v>
      </c>
      <c r="N131" s="15">
        <f t="shared" ca="1" si="22"/>
        <v>1</v>
      </c>
      <c r="O131" s="15">
        <f t="shared" ca="1" si="23"/>
        <v>1</v>
      </c>
      <c r="P131" s="15">
        <f ca="1">(Table2[[#This Row],[TODAY]]-Table2[[#This Row],[Date of Joining]])</f>
        <v>2986</v>
      </c>
      <c r="Q131" s="15">
        <f>VLOOKUP(A131,Table2[[#All],[Employee ID]:[Salary]],5,FALSE)</f>
        <v>65270</v>
      </c>
      <c r="R131" s="15">
        <f t="shared" si="24"/>
        <v>65270</v>
      </c>
    </row>
    <row r="132" spans="1:18" x14ac:dyDescent="0.3">
      <c r="A132" s="4" t="s">
        <v>156</v>
      </c>
      <c r="B132" s="1" t="s">
        <v>164</v>
      </c>
      <c r="C132" s="16" t="s">
        <v>175</v>
      </c>
      <c r="D132" s="1" t="s">
        <v>173</v>
      </c>
      <c r="E132" s="1">
        <v>67335</v>
      </c>
      <c r="F132" s="2">
        <v>43044</v>
      </c>
      <c r="G132" s="1">
        <v>1</v>
      </c>
      <c r="H132" s="1" t="s">
        <v>176</v>
      </c>
      <c r="I132" s="3" t="s">
        <v>230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20"/>
        <v>46023</v>
      </c>
      <c r="M132" s="24">
        <f t="shared" ca="1" si="21"/>
        <v>46023.558386689816</v>
      </c>
      <c r="N132" s="15">
        <f t="shared" ca="1" si="22"/>
        <v>1</v>
      </c>
      <c r="O132" s="15">
        <f t="shared" ca="1" si="23"/>
        <v>1</v>
      </c>
      <c r="P132" s="15">
        <f ca="1">(Table2[[#This Row],[TODAY]]-Table2[[#This Row],[Date of Joining]])</f>
        <v>2979</v>
      </c>
      <c r="Q132" s="15">
        <f>VLOOKUP(A132,Table2[[#All],[Employee ID]:[Salary]],5,FALSE)</f>
        <v>67335</v>
      </c>
      <c r="R132" s="15">
        <f t="shared" si="24"/>
        <v>67335</v>
      </c>
    </row>
    <row r="133" spans="1:18" x14ac:dyDescent="0.3">
      <c r="A133" s="4" t="s">
        <v>60</v>
      </c>
      <c r="B133" s="1" t="s">
        <v>158</v>
      </c>
      <c r="C133" s="1" t="s">
        <v>169</v>
      </c>
      <c r="D133" s="16" t="s">
        <v>175</v>
      </c>
      <c r="E133" s="1">
        <v>30280</v>
      </c>
      <c r="F133" s="2">
        <v>42372</v>
      </c>
      <c r="G133" s="1">
        <v>1</v>
      </c>
      <c r="H133" s="1" t="s">
        <v>178</v>
      </c>
      <c r="I133" s="3" t="s">
        <v>225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20"/>
        <v>46023</v>
      </c>
      <c r="M133" s="24">
        <f t="shared" ca="1" si="21"/>
        <v>46023.558386689816</v>
      </c>
      <c r="N133" s="15">
        <f t="shared" ca="1" si="22"/>
        <v>1</v>
      </c>
      <c r="O133" s="15">
        <f t="shared" ca="1" si="23"/>
        <v>1</v>
      </c>
      <c r="P133" s="15">
        <f ca="1">(Table2[[#This Row],[TODAY]]-Table2[[#This Row],[Date of Joining]])</f>
        <v>3651</v>
      </c>
      <c r="Q133" s="15">
        <f>VLOOKUP(A133,Table2[[#All],[Employee ID]:[Salary]],5,FALSE)</f>
        <v>30280</v>
      </c>
      <c r="R133" s="15">
        <f t="shared" si="24"/>
        <v>30280</v>
      </c>
    </row>
    <row r="134" spans="1:18" x14ac:dyDescent="0.3">
      <c r="A134" s="4" t="s">
        <v>64</v>
      </c>
      <c r="B134" s="1" t="s">
        <v>160</v>
      </c>
      <c r="C134" s="1" t="s">
        <v>167</v>
      </c>
      <c r="D134" s="1" t="s">
        <v>174</v>
      </c>
      <c r="E134" s="1">
        <v>60011</v>
      </c>
      <c r="F134" s="2">
        <v>42400</v>
      </c>
      <c r="G134" s="1">
        <v>1</v>
      </c>
      <c r="H134" s="1" t="s">
        <v>177</v>
      </c>
      <c r="I134" s="3" t="s">
        <v>228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20"/>
        <v>46023</v>
      </c>
      <c r="M134" s="24">
        <f t="shared" ca="1" si="21"/>
        <v>46023.558386689816</v>
      </c>
      <c r="N134" s="15">
        <f t="shared" ca="1" si="22"/>
        <v>1</v>
      </c>
      <c r="O134" s="15">
        <f t="shared" ca="1" si="23"/>
        <v>1</v>
      </c>
      <c r="P134" s="15">
        <f ca="1">(Table2[[#This Row],[TODAY]]-Table2[[#This Row],[Date of Joining]])</f>
        <v>3623</v>
      </c>
      <c r="Q134" s="15">
        <f>VLOOKUP(A134,Table2[[#All],[Employee ID]:[Salary]],5,FALSE)</f>
        <v>60011</v>
      </c>
      <c r="R134" s="15">
        <f t="shared" si="24"/>
        <v>60011</v>
      </c>
    </row>
    <row r="135" spans="1:18" x14ac:dyDescent="0.3">
      <c r="A135" s="4" t="s">
        <v>67</v>
      </c>
      <c r="B135" s="1" t="s">
        <v>162</v>
      </c>
      <c r="C135" s="1" t="s">
        <v>165</v>
      </c>
      <c r="D135" s="1" t="s">
        <v>171</v>
      </c>
      <c r="E135" s="1">
        <v>82033</v>
      </c>
      <c r="F135" s="2">
        <v>42421</v>
      </c>
      <c r="G135" s="1">
        <v>1</v>
      </c>
      <c r="H135" s="1" t="s">
        <v>177</v>
      </c>
      <c r="I135" s="3" t="s">
        <v>220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20"/>
        <v>46023</v>
      </c>
      <c r="M135" s="24">
        <f t="shared" ca="1" si="21"/>
        <v>46023.558386689816</v>
      </c>
      <c r="N135" s="15">
        <f t="shared" ca="1" si="22"/>
        <v>1</v>
      </c>
      <c r="O135" s="15">
        <f t="shared" ca="1" si="23"/>
        <v>1</v>
      </c>
      <c r="P135" s="15">
        <f ca="1">(Table2[[#This Row],[TODAY]]-Table2[[#This Row],[Date of Joining]])</f>
        <v>3602</v>
      </c>
      <c r="Q135" s="15">
        <f>VLOOKUP(A135,Table2[[#All],[Employee ID]:[Salary]],5,FALSE)</f>
        <v>82033</v>
      </c>
      <c r="R135" s="15">
        <f t="shared" si="24"/>
        <v>82033</v>
      </c>
    </row>
    <row r="136" spans="1:18" x14ac:dyDescent="0.3">
      <c r="A136" s="4" t="s">
        <v>72</v>
      </c>
      <c r="B136" s="1" t="s">
        <v>160</v>
      </c>
      <c r="C136" s="1" t="s">
        <v>168</v>
      </c>
      <c r="D136" s="1" t="s">
        <v>172</v>
      </c>
      <c r="E136" s="1">
        <v>84737</v>
      </c>
      <c r="F136" s="2">
        <v>42456</v>
      </c>
      <c r="G136" s="1">
        <v>1</v>
      </c>
      <c r="H136" s="1" t="s">
        <v>177</v>
      </c>
      <c r="I136" s="3" t="s">
        <v>233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20"/>
        <v>46023</v>
      </c>
      <c r="M136" s="24">
        <f t="shared" ca="1" si="21"/>
        <v>46023.558386689816</v>
      </c>
      <c r="N136" s="15">
        <f t="shared" ca="1" si="22"/>
        <v>1</v>
      </c>
      <c r="O136" s="15">
        <f t="shared" ca="1" si="23"/>
        <v>1</v>
      </c>
      <c r="P136" s="15">
        <f ca="1">(Table2[[#This Row],[TODAY]]-Table2[[#This Row],[Date of Joining]])</f>
        <v>3567</v>
      </c>
      <c r="Q136" s="15">
        <f>VLOOKUP(A136,Table2[[#All],[Employee ID]:[Salary]],5,FALSE)</f>
        <v>84737</v>
      </c>
      <c r="R136" s="15">
        <f t="shared" si="24"/>
        <v>84737</v>
      </c>
    </row>
    <row r="137" spans="1:18" x14ac:dyDescent="0.3">
      <c r="A137" s="4" t="s">
        <v>77</v>
      </c>
      <c r="B137" s="1" t="s">
        <v>164</v>
      </c>
      <c r="C137" s="1" t="s">
        <v>165</v>
      </c>
      <c r="D137" s="1" t="s">
        <v>172</v>
      </c>
      <c r="E137" s="1">
        <v>77096</v>
      </c>
      <c r="F137" s="2">
        <v>42491</v>
      </c>
      <c r="G137" s="1">
        <v>1</v>
      </c>
      <c r="H137" s="1" t="s">
        <v>177</v>
      </c>
      <c r="I137" s="3" t="s">
        <v>237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20"/>
        <v>46023</v>
      </c>
      <c r="M137" s="24">
        <f t="shared" ca="1" si="21"/>
        <v>46023.558386689816</v>
      </c>
      <c r="N137" s="15">
        <f t="shared" ca="1" si="22"/>
        <v>1</v>
      </c>
      <c r="O137" s="15">
        <f t="shared" ca="1" si="23"/>
        <v>1</v>
      </c>
      <c r="P137" s="15">
        <f ca="1">(Table2[[#This Row],[TODAY]]-Table2[[#This Row],[Date of Joining]])</f>
        <v>3532</v>
      </c>
      <c r="Q137" s="15">
        <f>VLOOKUP(A137,Table2[[#All],[Employee ID]:[Salary]],5,FALSE)</f>
        <v>77096</v>
      </c>
      <c r="R137" s="15">
        <f t="shared" si="24"/>
        <v>77096</v>
      </c>
    </row>
    <row r="138" spans="1:18" x14ac:dyDescent="0.3">
      <c r="A138" s="4" t="s">
        <v>83</v>
      </c>
      <c r="B138" s="16" t="s">
        <v>175</v>
      </c>
      <c r="C138" s="1" t="s">
        <v>167</v>
      </c>
      <c r="D138" s="16" t="s">
        <v>175</v>
      </c>
      <c r="E138" s="1">
        <v>96142</v>
      </c>
      <c r="F138" s="2">
        <v>42533</v>
      </c>
      <c r="G138" s="1">
        <v>1</v>
      </c>
      <c r="H138" s="1" t="s">
        <v>176</v>
      </c>
      <c r="I138" s="3" t="s">
        <v>239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20"/>
        <v>46023</v>
      </c>
      <c r="M138" s="24">
        <f t="shared" ca="1" si="21"/>
        <v>46023.558386689816</v>
      </c>
      <c r="N138" s="15">
        <f t="shared" ca="1" si="22"/>
        <v>1</v>
      </c>
      <c r="O138" s="15">
        <f t="shared" ca="1" si="23"/>
        <v>1</v>
      </c>
      <c r="P138" s="15">
        <f ca="1">(Table2[[#This Row],[TODAY]]-Table2[[#This Row],[Date of Joining]])</f>
        <v>3490</v>
      </c>
      <c r="Q138" s="15">
        <f>VLOOKUP(A138,Table2[[#All],[Employee ID]:[Salary]],5,FALSE)</f>
        <v>96142</v>
      </c>
      <c r="R138" s="15">
        <f t="shared" si="24"/>
        <v>96142</v>
      </c>
    </row>
    <row r="139" spans="1:18" x14ac:dyDescent="0.3">
      <c r="A139" s="4" t="s">
        <v>84</v>
      </c>
      <c r="B139" s="1" t="s">
        <v>158</v>
      </c>
      <c r="C139" s="1" t="s">
        <v>168</v>
      </c>
      <c r="D139" s="1" t="s">
        <v>172</v>
      </c>
      <c r="E139" s="1">
        <v>94301</v>
      </c>
      <c r="F139" s="2">
        <v>42540</v>
      </c>
      <c r="G139" s="1">
        <v>1</v>
      </c>
      <c r="H139" s="1" t="s">
        <v>177</v>
      </c>
      <c r="I139" s="3" t="s">
        <v>220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20"/>
        <v>46023</v>
      </c>
      <c r="M139" s="24">
        <f t="shared" ca="1" si="21"/>
        <v>46023.558386689816</v>
      </c>
      <c r="N139" s="15">
        <f t="shared" ca="1" si="22"/>
        <v>1</v>
      </c>
      <c r="O139" s="15">
        <f t="shared" ca="1" si="23"/>
        <v>1</v>
      </c>
      <c r="P139" s="15">
        <f ca="1">(Table2[[#This Row],[TODAY]]-Table2[[#This Row],[Date of Joining]])</f>
        <v>3483</v>
      </c>
      <c r="Q139" s="15">
        <f>VLOOKUP(A139,Table2[[#All],[Employee ID]:[Salary]],5,FALSE)</f>
        <v>94301</v>
      </c>
      <c r="R139" s="15">
        <f t="shared" si="24"/>
        <v>94301</v>
      </c>
    </row>
    <row r="140" spans="1:18" x14ac:dyDescent="0.3">
      <c r="A140" s="4" t="s">
        <v>85</v>
      </c>
      <c r="B140" s="1" t="s">
        <v>161</v>
      </c>
      <c r="C140" s="16" t="s">
        <v>175</v>
      </c>
      <c r="D140" s="1" t="s">
        <v>173</v>
      </c>
      <c r="E140" s="1">
        <v>69166</v>
      </c>
      <c r="F140" s="2">
        <v>42547</v>
      </c>
      <c r="G140" s="1">
        <v>1</v>
      </c>
      <c r="H140" s="1" t="s">
        <v>178</v>
      </c>
      <c r="I140" s="3" t="s">
        <v>240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20"/>
        <v>46023</v>
      </c>
      <c r="M140" s="24">
        <f t="shared" ca="1" si="21"/>
        <v>46023.558386689816</v>
      </c>
      <c r="N140" s="15">
        <f t="shared" ca="1" si="22"/>
        <v>1</v>
      </c>
      <c r="O140" s="15">
        <f t="shared" ca="1" si="23"/>
        <v>1</v>
      </c>
      <c r="P140" s="15">
        <f ca="1">(Table2[[#This Row],[TODAY]]-Table2[[#This Row],[Date of Joining]])</f>
        <v>3476</v>
      </c>
      <c r="Q140" s="15">
        <f>VLOOKUP(A140,Table2[[#All],[Employee ID]:[Salary]],5,FALSE)</f>
        <v>69166</v>
      </c>
      <c r="R140" s="15">
        <f t="shared" si="24"/>
        <v>69166</v>
      </c>
    </row>
    <row r="141" spans="1:18" x14ac:dyDescent="0.3">
      <c r="A141" s="4" t="s">
        <v>90</v>
      </c>
      <c r="B141" s="1" t="s">
        <v>158</v>
      </c>
      <c r="C141" s="1" t="s">
        <v>168</v>
      </c>
      <c r="D141" s="1" t="s">
        <v>173</v>
      </c>
      <c r="E141" s="1">
        <v>42262</v>
      </c>
      <c r="F141" s="2">
        <v>42582</v>
      </c>
      <c r="G141" s="1">
        <v>1</v>
      </c>
      <c r="H141" s="1" t="s">
        <v>178</v>
      </c>
      <c r="I141" s="3" t="s">
        <v>244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20"/>
        <v>46023</v>
      </c>
      <c r="M141" s="24">
        <f t="shared" ca="1" si="21"/>
        <v>46023.558386689816</v>
      </c>
      <c r="N141" s="15">
        <f t="shared" ca="1" si="22"/>
        <v>1</v>
      </c>
      <c r="O141" s="15">
        <f t="shared" ca="1" si="23"/>
        <v>1</v>
      </c>
      <c r="P141" s="15">
        <f ca="1">(Table2[[#This Row],[TODAY]]-Table2[[#This Row],[Date of Joining]])</f>
        <v>3441</v>
      </c>
      <c r="Q141" s="15">
        <f>VLOOKUP(A141,Table2[[#All],[Employee ID]:[Salary]],5,FALSE)</f>
        <v>42262</v>
      </c>
      <c r="R141" s="15">
        <f t="shared" si="24"/>
        <v>42262</v>
      </c>
    </row>
    <row r="142" spans="1:18" x14ac:dyDescent="0.3">
      <c r="A142" s="4" t="s">
        <v>99</v>
      </c>
      <c r="B142" s="1" t="s">
        <v>159</v>
      </c>
      <c r="C142" s="1" t="s">
        <v>166</v>
      </c>
      <c r="D142" s="1" t="s">
        <v>174</v>
      </c>
      <c r="E142" s="1">
        <v>69420</v>
      </c>
      <c r="F142" s="2">
        <v>42645</v>
      </c>
      <c r="G142" s="1">
        <v>1</v>
      </c>
      <c r="H142" s="1" t="s">
        <v>177</v>
      </c>
      <c r="I142" s="3" t="s">
        <v>222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20"/>
        <v>46023</v>
      </c>
      <c r="M142" s="24">
        <f t="shared" ca="1" si="21"/>
        <v>46023.558386689816</v>
      </c>
      <c r="N142" s="15">
        <f t="shared" ca="1" si="22"/>
        <v>1</v>
      </c>
      <c r="O142" s="15">
        <f t="shared" ca="1" si="23"/>
        <v>1</v>
      </c>
      <c r="P142" s="15">
        <f ca="1">(Table2[[#This Row],[TODAY]]-Table2[[#This Row],[Date of Joining]])</f>
        <v>3378</v>
      </c>
      <c r="Q142" s="15">
        <f>VLOOKUP(A142,Table2[[#All],[Employee ID]:[Salary]],5,FALSE)</f>
        <v>69420</v>
      </c>
      <c r="R142" s="15">
        <f t="shared" si="24"/>
        <v>69420</v>
      </c>
    </row>
    <row r="143" spans="1:18" x14ac:dyDescent="0.3">
      <c r="A143" s="4" t="s">
        <v>105</v>
      </c>
      <c r="B143" s="1" t="s">
        <v>162</v>
      </c>
      <c r="C143" s="1" t="s">
        <v>166</v>
      </c>
      <c r="D143" s="1" t="s">
        <v>170</v>
      </c>
      <c r="E143" s="1">
        <v>89333</v>
      </c>
      <c r="F143" s="2">
        <v>42687</v>
      </c>
      <c r="G143" s="1">
        <v>1</v>
      </c>
      <c r="H143" s="1" t="s">
        <v>177</v>
      </c>
      <c r="I143" s="3" t="s">
        <v>253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20"/>
        <v>46023</v>
      </c>
      <c r="M143" s="24">
        <f t="shared" ca="1" si="21"/>
        <v>46023.558386689816</v>
      </c>
      <c r="N143" s="15">
        <f t="shared" ca="1" si="22"/>
        <v>1</v>
      </c>
      <c r="O143" s="15">
        <f t="shared" si="23"/>
        <v>0</v>
      </c>
      <c r="P143" s="15">
        <f ca="1">(Table2[[#This Row],[TODAY]]-Table2[[#This Row],[Date of Joining]])</f>
        <v>3336</v>
      </c>
      <c r="Q143" s="15">
        <f>VLOOKUP(A143,Table2[[#All],[Employee ID]:[Salary]],5,FALSE)</f>
        <v>89333</v>
      </c>
      <c r="R143" s="15">
        <f t="shared" si="24"/>
        <v>89333</v>
      </c>
    </row>
    <row r="144" spans="1:18" x14ac:dyDescent="0.3">
      <c r="A144" s="4" t="s">
        <v>9</v>
      </c>
      <c r="B144" s="1" t="s">
        <v>158</v>
      </c>
      <c r="C144" s="1" t="s">
        <v>166</v>
      </c>
      <c r="D144" s="1" t="s">
        <v>170</v>
      </c>
      <c r="E144" s="1">
        <v>54255</v>
      </c>
      <c r="F144" s="2">
        <v>42015</v>
      </c>
      <c r="G144" s="1">
        <v>1</v>
      </c>
      <c r="H144" s="1" t="s">
        <v>176</v>
      </c>
      <c r="I144" s="3" t="s">
        <v>180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20"/>
        <v>46023</v>
      </c>
      <c r="M144" s="24">
        <f t="shared" ca="1" si="21"/>
        <v>46023.558386689816</v>
      </c>
      <c r="N144" s="15">
        <f t="shared" ca="1" si="22"/>
        <v>1</v>
      </c>
      <c r="O144" s="15">
        <f t="shared" si="23"/>
        <v>0</v>
      </c>
      <c r="P144" s="15">
        <f ca="1">(Table2[[#This Row],[TODAY]]-Table2[[#This Row],[Date of Joining]])</f>
        <v>4008</v>
      </c>
      <c r="Q144" s="15">
        <f>VLOOKUP(A144,Table2[[#All],[Employee ID]:[Salary]],5,FALSE)</f>
        <v>54255</v>
      </c>
      <c r="R144" s="15">
        <f t="shared" si="24"/>
        <v>54255</v>
      </c>
    </row>
    <row r="145" spans="1:18" x14ac:dyDescent="0.3">
      <c r="A145" s="4" t="s">
        <v>11</v>
      </c>
      <c r="B145" s="1" t="s">
        <v>160</v>
      </c>
      <c r="C145" s="1" t="s">
        <v>167</v>
      </c>
      <c r="D145" s="1" t="s">
        <v>171</v>
      </c>
      <c r="E145" s="1">
        <v>94406</v>
      </c>
      <c r="F145" s="2">
        <v>42029</v>
      </c>
      <c r="G145" s="1">
        <v>1</v>
      </c>
      <c r="H145" s="1" t="s">
        <v>177</v>
      </c>
      <c r="I145" s="3" t="s">
        <v>182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20"/>
        <v>46023</v>
      </c>
      <c r="M145" s="24">
        <f t="shared" ca="1" si="21"/>
        <v>46023.558386689816</v>
      </c>
      <c r="N145" s="15">
        <f t="shared" ca="1" si="22"/>
        <v>1</v>
      </c>
      <c r="O145" s="15">
        <f t="shared" si="23"/>
        <v>0</v>
      </c>
      <c r="P145" s="15">
        <f ca="1">(Table2[[#This Row],[TODAY]]-Table2[[#This Row],[Date of Joining]])</f>
        <v>3994</v>
      </c>
      <c r="Q145" s="15">
        <f>VLOOKUP(A145,Table2[[#All],[Employee ID]:[Salary]],5,FALSE)</f>
        <v>94406</v>
      </c>
      <c r="R145" s="15">
        <f t="shared" si="24"/>
        <v>94406</v>
      </c>
    </row>
    <row r="146" spans="1:18" x14ac:dyDescent="0.3">
      <c r="A146" s="4" t="s">
        <v>12</v>
      </c>
      <c r="B146" s="1" t="s">
        <v>161</v>
      </c>
      <c r="C146" s="1" t="s">
        <v>167</v>
      </c>
      <c r="D146" s="1" t="s">
        <v>170</v>
      </c>
      <c r="E146" s="1">
        <v>64120</v>
      </c>
      <c r="F146" s="2">
        <v>42036</v>
      </c>
      <c r="G146" s="1">
        <v>1</v>
      </c>
      <c r="H146" s="1" t="s">
        <v>177</v>
      </c>
      <c r="I146" s="3" t="s">
        <v>183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20"/>
        <v>46023</v>
      </c>
      <c r="M146" s="24">
        <f t="shared" ca="1" si="21"/>
        <v>46023.558386689816</v>
      </c>
      <c r="N146" s="15">
        <f t="shared" ca="1" si="22"/>
        <v>1</v>
      </c>
      <c r="O146" s="15">
        <f t="shared" si="23"/>
        <v>0</v>
      </c>
      <c r="P146" s="15">
        <f ca="1">(Table2[[#This Row],[TODAY]]-Table2[[#This Row],[Date of Joining]])</f>
        <v>3987</v>
      </c>
      <c r="Q146" s="15">
        <f>VLOOKUP(A146,Table2[[#All],[Employee ID]:[Salary]],5,FALSE)</f>
        <v>64120</v>
      </c>
      <c r="R146" s="15">
        <f t="shared" si="24"/>
        <v>64120</v>
      </c>
    </row>
    <row r="147" spans="1:18" x14ac:dyDescent="0.3">
      <c r="A147" s="4" t="s">
        <v>18</v>
      </c>
      <c r="B147" s="20" t="s">
        <v>162</v>
      </c>
      <c r="C147" s="1" t="s">
        <v>165</v>
      </c>
      <c r="D147" s="1" t="s">
        <v>173</v>
      </c>
      <c r="E147" s="1">
        <v>64247</v>
      </c>
      <c r="F147" s="2">
        <v>42078</v>
      </c>
      <c r="G147" s="1">
        <v>1</v>
      </c>
      <c r="H147" s="1" t="s">
        <v>178</v>
      </c>
      <c r="I147" s="3" t="s">
        <v>188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20"/>
        <v>46023</v>
      </c>
      <c r="M147" s="24">
        <f t="shared" ca="1" si="21"/>
        <v>46023.558386689816</v>
      </c>
      <c r="N147" s="15">
        <f t="shared" ca="1" si="22"/>
        <v>1</v>
      </c>
      <c r="O147" s="15">
        <f t="shared" si="23"/>
        <v>0</v>
      </c>
      <c r="P147" s="15">
        <f ca="1">(Table2[[#This Row],[TODAY]]-Table2[[#This Row],[Date of Joining]])</f>
        <v>3945</v>
      </c>
      <c r="Q147" s="15">
        <f>VLOOKUP(A147,Table2[[#All],[Employee ID]:[Salary]],5,FALSE)</f>
        <v>64247</v>
      </c>
      <c r="R147" s="15">
        <f t="shared" si="24"/>
        <v>64247</v>
      </c>
    </row>
    <row r="148" spans="1:18" x14ac:dyDescent="0.3">
      <c r="A148" s="4" t="s">
        <v>25</v>
      </c>
      <c r="B148" s="20" t="s">
        <v>161</v>
      </c>
      <c r="C148" s="1" t="s">
        <v>165</v>
      </c>
      <c r="D148" s="1" t="s">
        <v>174</v>
      </c>
      <c r="E148" s="1">
        <v>41341</v>
      </c>
      <c r="F148" s="2">
        <v>42127</v>
      </c>
      <c r="G148" s="1">
        <v>1</v>
      </c>
      <c r="H148" s="1" t="s">
        <v>176</v>
      </c>
      <c r="I148" s="3" t="s">
        <v>194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20"/>
        <v>46023</v>
      </c>
      <c r="M148" s="24">
        <f t="shared" ca="1" si="21"/>
        <v>46023.558386689816</v>
      </c>
      <c r="N148" s="15">
        <f t="shared" ca="1" si="22"/>
        <v>1</v>
      </c>
      <c r="O148" s="15">
        <f t="shared" si="23"/>
        <v>0</v>
      </c>
      <c r="P148" s="15">
        <f ca="1">(Table2[[#This Row],[TODAY]]-Table2[[#This Row],[Date of Joining]])</f>
        <v>3896</v>
      </c>
      <c r="Q148" s="15">
        <f>VLOOKUP(A148,Table2[[#All],[Employee ID]:[Salary]],5,FALSE)</f>
        <v>41341</v>
      </c>
      <c r="R148" s="15">
        <f t="shared" si="24"/>
        <v>41341</v>
      </c>
    </row>
    <row r="149" spans="1:18" x14ac:dyDescent="0.3">
      <c r="A149" s="4" t="s">
        <v>32</v>
      </c>
      <c r="B149" s="20" t="s">
        <v>162</v>
      </c>
      <c r="C149" s="1" t="s">
        <v>165</v>
      </c>
      <c r="D149" s="16" t="s">
        <v>175</v>
      </c>
      <c r="E149" s="1">
        <v>91005</v>
      </c>
      <c r="F149" s="2">
        <v>42176</v>
      </c>
      <c r="G149" s="1">
        <v>1</v>
      </c>
      <c r="H149" s="1" t="s">
        <v>176</v>
      </c>
      <c r="I149" s="3" t="s">
        <v>201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20"/>
        <v>46023</v>
      </c>
      <c r="M149" s="24">
        <f t="shared" ca="1" si="21"/>
        <v>46023.558386689816</v>
      </c>
      <c r="N149" s="15">
        <f t="shared" ca="1" si="22"/>
        <v>1</v>
      </c>
      <c r="O149" s="15">
        <f t="shared" si="23"/>
        <v>0</v>
      </c>
      <c r="P149" s="15">
        <f ca="1">(Table2[[#This Row],[TODAY]]-Table2[[#This Row],[Date of Joining]])</f>
        <v>3847</v>
      </c>
      <c r="Q149" s="15">
        <f>VLOOKUP(A149,Table2[[#All],[Employee ID]:[Salary]],5,FALSE)</f>
        <v>91005</v>
      </c>
      <c r="R149" s="15">
        <f t="shared" si="24"/>
        <v>91005</v>
      </c>
    </row>
    <row r="150" spans="1:18" x14ac:dyDescent="0.3">
      <c r="A150" s="4" t="s">
        <v>50</v>
      </c>
      <c r="B150" s="20" t="s">
        <v>164</v>
      </c>
      <c r="C150" s="16" t="s">
        <v>175</v>
      </c>
      <c r="D150" s="1" t="s">
        <v>174</v>
      </c>
      <c r="E150" s="1">
        <v>64913</v>
      </c>
      <c r="F150" s="2">
        <v>42302</v>
      </c>
      <c r="G150" s="1">
        <v>1</v>
      </c>
      <c r="H150" s="1" t="s">
        <v>178</v>
      </c>
      <c r="I150" s="3" t="s">
        <v>218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20"/>
        <v>46023</v>
      </c>
      <c r="M150" s="24">
        <f t="shared" ca="1" si="21"/>
        <v>46023.558386689816</v>
      </c>
      <c r="N150" s="15">
        <f t="shared" ca="1" si="22"/>
        <v>1</v>
      </c>
      <c r="O150" s="15">
        <f t="shared" si="23"/>
        <v>0</v>
      </c>
      <c r="P150" s="15">
        <f ca="1">(Table2[[#This Row],[TODAY]]-Table2[[#This Row],[Date of Joining]])</f>
        <v>3721</v>
      </c>
      <c r="Q150" s="15">
        <f>VLOOKUP(A150,Table2[[#All],[Employee ID]:[Salary]],5,FALSE)</f>
        <v>64913</v>
      </c>
      <c r="R150" s="15">
        <f t="shared" si="24"/>
        <v>64913</v>
      </c>
    </row>
    <row r="151" spans="1:18" x14ac:dyDescent="0.3">
      <c r="A151" s="8" t="s">
        <v>52</v>
      </c>
      <c r="B151" s="21" t="s">
        <v>163</v>
      </c>
      <c r="C151" s="9" t="s">
        <v>165</v>
      </c>
      <c r="D151" s="18" t="s">
        <v>175</v>
      </c>
      <c r="E151" s="9">
        <v>81610</v>
      </c>
      <c r="F151" s="10">
        <v>42316</v>
      </c>
      <c r="G151" s="9">
        <v>1</v>
      </c>
      <c r="H151" s="9" t="s">
        <v>177</v>
      </c>
      <c r="I151" s="11" t="s">
        <v>220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20"/>
        <v>46023</v>
      </c>
      <c r="M151" s="24">
        <f t="shared" ca="1" si="21"/>
        <v>46023.558386689816</v>
      </c>
      <c r="N151" s="15">
        <f t="shared" ca="1" si="22"/>
        <v>1</v>
      </c>
      <c r="O151" s="15">
        <f t="shared" si="23"/>
        <v>0</v>
      </c>
      <c r="P151" s="15">
        <f ca="1">(Table2[[#This Row],[TODAY]]-Table2[[#This Row],[Date of Joining]])</f>
        <v>3707</v>
      </c>
      <c r="Q151" s="15">
        <f>VLOOKUP(A151,Table2[[#All],[Employee ID]:[Salary]],5,FALSE)</f>
        <v>81610</v>
      </c>
      <c r="R151" s="15">
        <f t="shared" si="24"/>
        <v>81610</v>
      </c>
    </row>
    <row r="153" spans="1:18" x14ac:dyDescent="0.3">
      <c r="F153" t="s">
        <v>280</v>
      </c>
      <c r="G153" s="17">
        <f>AVERAGE(J2:J151)</f>
        <v>2.8680726018620764</v>
      </c>
    </row>
    <row r="154" spans="1:18" x14ac:dyDescent="0.3">
      <c r="F154" t="s">
        <v>281</v>
      </c>
      <c r="G154" s="17">
        <f>MEDIAN(J2:J151)</f>
        <v>2.9722222222222223</v>
      </c>
    </row>
    <row r="155" spans="1:18" x14ac:dyDescent="0.3">
      <c r="F155" t="s">
        <v>282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:D5"/>
  <sheetViews>
    <sheetView topLeftCell="B1" workbookViewId="0">
      <selection activeCell="L4" sqref="L4"/>
    </sheetView>
  </sheetViews>
  <sheetFormatPr defaultRowHeight="14.4" x14ac:dyDescent="0.3"/>
  <cols>
    <col min="1" max="1" width="11.77734375" bestFit="1" customWidth="1"/>
    <col min="2" max="2" width="21.5546875" bestFit="1" customWidth="1"/>
    <col min="3" max="3" width="89.33203125" bestFit="1" customWidth="1"/>
  </cols>
  <sheetData>
    <row r="1" spans="1:4" x14ac:dyDescent="0.3">
      <c r="A1" t="s">
        <v>295</v>
      </c>
      <c r="B1" t="s">
        <v>296</v>
      </c>
      <c r="C1" t="s">
        <v>297</v>
      </c>
      <c r="D1" t="s">
        <v>298</v>
      </c>
    </row>
    <row r="2" spans="1:4" x14ac:dyDescent="0.3">
      <c r="A2" t="s">
        <v>299</v>
      </c>
      <c r="B2" t="s">
        <v>300</v>
      </c>
      <c r="C2" t="s">
        <v>301</v>
      </c>
      <c r="D2" t="s">
        <v>302</v>
      </c>
    </row>
    <row r="3" spans="1:4" x14ac:dyDescent="0.3">
      <c r="A3" t="s">
        <v>303</v>
      </c>
      <c r="B3" t="s">
        <v>304</v>
      </c>
      <c r="C3" t="s">
        <v>305</v>
      </c>
      <c r="D3" t="s">
        <v>306</v>
      </c>
    </row>
    <row r="4" spans="1:4" x14ac:dyDescent="0.3">
      <c r="A4" t="s">
        <v>307</v>
      </c>
      <c r="B4" t="s">
        <v>308</v>
      </c>
      <c r="C4" t="s">
        <v>309</v>
      </c>
      <c r="D4" t="s">
        <v>310</v>
      </c>
    </row>
    <row r="5" spans="1:4" x14ac:dyDescent="0.3">
      <c r="A5" t="s">
        <v>311</v>
      </c>
      <c r="B5" t="s">
        <v>312</v>
      </c>
      <c r="C5" t="s">
        <v>313</v>
      </c>
      <c r="D5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16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2026-01-01T07:54:28Z</dcterms:modified>
</cp:coreProperties>
</file>